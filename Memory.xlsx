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ev\Beeb\"/>
    </mc:Choice>
  </mc:AlternateContent>
  <xr:revisionPtr revIDLastSave="0" documentId="13_ncr:1_{2E5EAC4E-741D-4B83-BA2D-D5DEE8403802}" xr6:coauthVersionLast="47" xr6:coauthVersionMax="47" xr10:uidLastSave="{00000000-0000-0000-0000-000000000000}"/>
  <bookViews>
    <workbookView xWindow="12950" yWindow="3250" windowWidth="24870" windowHeight="17050" xr2:uid="{C0DF3A0D-E6A9-4F13-8EDD-5DE46AD6E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  <c r="B46" i="1" s="1"/>
  <c r="B47" i="1" s="1"/>
  <c r="B49" i="1"/>
  <c r="B48" i="1" s="1"/>
  <c r="C20" i="1"/>
  <c r="P6" i="1"/>
  <c r="N6" i="1"/>
  <c r="L6" i="1"/>
  <c r="J6" i="1"/>
  <c r="H6" i="1"/>
  <c r="F6" i="1"/>
  <c r="P5" i="1"/>
  <c r="N5" i="1"/>
  <c r="L5" i="1"/>
  <c r="J5" i="1"/>
  <c r="H5" i="1"/>
  <c r="F5" i="1"/>
  <c r="D7" i="1"/>
  <c r="P7" i="1" s="1"/>
  <c r="P12" i="1"/>
  <c r="N12" i="1"/>
  <c r="L12" i="1"/>
  <c r="J12" i="1"/>
  <c r="H12" i="1"/>
  <c r="F12" i="1"/>
  <c r="P13" i="1"/>
  <c r="N13" i="1"/>
  <c r="L13" i="1"/>
  <c r="J13" i="1"/>
  <c r="H13" i="1"/>
  <c r="F13" i="1"/>
  <c r="C50" i="1"/>
  <c r="N11" i="1"/>
  <c r="C51" i="1"/>
  <c r="C52" i="1"/>
  <c r="B52" i="1" s="1"/>
  <c r="D10" i="1"/>
  <c r="P10" i="1" s="1"/>
  <c r="D8" i="1"/>
  <c r="F8" i="1" s="1"/>
  <c r="D9" i="1"/>
  <c r="P9" i="1" s="1"/>
  <c r="C33" i="1" l="1"/>
  <c r="F7" i="1"/>
  <c r="H7" i="1"/>
  <c r="J7" i="1"/>
  <c r="L7" i="1"/>
  <c r="N7" i="1"/>
  <c r="B21" i="1"/>
  <c r="C24" i="1"/>
  <c r="F11" i="1"/>
  <c r="F9" i="1"/>
  <c r="J11" i="1"/>
  <c r="H11" i="1"/>
  <c r="P11" i="1"/>
  <c r="L11" i="1"/>
  <c r="B51" i="1"/>
  <c r="B50" i="1" s="1"/>
  <c r="H9" i="1"/>
  <c r="F10" i="1"/>
  <c r="N10" i="1"/>
  <c r="N8" i="1"/>
  <c r="N9" i="1"/>
  <c r="L8" i="1"/>
  <c r="L9" i="1"/>
  <c r="L10" i="1"/>
  <c r="H10" i="1"/>
  <c r="H8" i="1"/>
  <c r="J9" i="1"/>
  <c r="J10" i="1"/>
  <c r="J8" i="1"/>
  <c r="P8" i="1"/>
  <c r="H14" i="1" l="1"/>
  <c r="H16" i="1" s="1"/>
  <c r="P14" i="1"/>
  <c r="P2" i="1" s="1"/>
  <c r="B22" i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N14" i="1"/>
  <c r="N16" i="1" s="1"/>
  <c r="L14" i="1"/>
  <c r="L16" i="1" s="1"/>
  <c r="J14" i="1"/>
  <c r="J16" i="1" s="1"/>
  <c r="F14" i="1"/>
  <c r="F16" i="1" s="1"/>
  <c r="B36" i="1" l="1"/>
  <c r="B37" i="1" s="1"/>
  <c r="B38" i="1" s="1"/>
  <c r="B39" i="1" l="1"/>
  <c r="B40" i="1" s="1"/>
  <c r="B41" i="1" s="1"/>
  <c r="B42" i="1" l="1"/>
  <c r="B43" i="1" s="1"/>
  <c r="B44" i="1" l="1"/>
  <c r="C47" i="1"/>
</calcChain>
</file>

<file path=xl/sharedStrings.xml><?xml version="1.0" encoding="utf-8"?>
<sst xmlns="http://schemas.openxmlformats.org/spreadsheetml/2006/main" count="97" uniqueCount="73">
  <si>
    <t>Quantity</t>
  </si>
  <si>
    <t>Usage</t>
  </si>
  <si>
    <t>Size</t>
  </si>
  <si>
    <t>Unused</t>
  </si>
  <si>
    <t>Data</t>
  </si>
  <si>
    <t>stack size:</t>
  </si>
  <si>
    <t>@</t>
  </si>
  <si>
    <t>Address</t>
  </si>
  <si>
    <t>Desc</t>
  </si>
  <si>
    <t>MOS general workspace</t>
  </si>
  <si>
    <t>Program code</t>
  </si>
  <si>
    <t>tile types</t>
  </si>
  <si>
    <t>@ 400 - 800</t>
  </si>
  <si>
    <t>@ 300 - 3E0</t>
  </si>
  <si>
    <t>@ 900 - D00</t>
  </si>
  <si>
    <t>@ E00 - 1000</t>
  </si>
  <si>
    <t>Memory</t>
  </si>
  <si>
    <t>tile address table</t>
  </si>
  <si>
    <t>sprite address table</t>
  </si>
  <si>
    <t>5 enemy sprites</t>
  </si>
  <si>
    <t>2 enemy sprites</t>
  </si>
  <si>
    <t>screen memory</t>
  </si>
  <si>
    <t>Size (bytes)</t>
  </si>
  <si>
    <t>DFS workspace</t>
  </si>
  <si>
    <t>@ 100 - 1C0</t>
  </si>
  <si>
    <t>reloaded</t>
  </si>
  <si>
    <t>1 enemy sprite</t>
  </si>
  <si>
    <t>1 door sprite</t>
  </si>
  <si>
    <t>2 door sprites</t>
  </si>
  <si>
    <t>MOS workspace</t>
  </si>
  <si>
    <t>Gamebar sprites</t>
  </si>
  <si>
    <t>Level palette</t>
  </si>
  <si>
    <t>Level tiles</t>
  </si>
  <si>
    <t>Level tile grid</t>
  </si>
  <si>
    <t>Program stack</t>
  </si>
  <si>
    <t>sound effects</t>
  </si>
  <si>
    <t>level palette</t>
  </si>
  <si>
    <t>game object arrays</t>
  </si>
  <si>
    <t>door sprite</t>
  </si>
  <si>
    <t>enemy sprite</t>
  </si>
  <si>
    <t>k9 sprite</t>
  </si>
  <si>
    <t>gamebar sprite</t>
  </si>
  <si>
    <t>enemy health bar atlas</t>
  </si>
  <si>
    <t>Repurposed memory</t>
  </si>
  <si>
    <t>&amp;D02</t>
  </si>
  <si>
    <t>&amp;D20</t>
  </si>
  <si>
    <t>NMI workspace (&amp;0D00-&amp;0D5F)</t>
  </si>
  <si>
    <t>MOS printer buffer (&amp;0880-&amp;08BF)</t>
  </si>
  <si>
    <t>&amp;880</t>
  </si>
  <si>
    <t>sprite health bar table</t>
  </si>
  <si>
    <t>&amp;1090</t>
  </si>
  <si>
    <t>&amp;10E0</t>
  </si>
  <si>
    <t>DFS workspace (&amp;1090-&amp;10BF)</t>
  </si>
  <si>
    <t>DFS workspace (&amp;10E0-&amp;10FF)</t>
  </si>
  <si>
    <t>Other Data</t>
  </si>
  <si>
    <t>game object order</t>
  </si>
  <si>
    <t>10 game objects array</t>
  </si>
  <si>
    <t>Game object order array</t>
  </si>
  <si>
    <t>1 K9 sprites</t>
  </si>
  <si>
    <t>Sprite address table (printer buffer)</t>
  </si>
  <si>
    <t>Tile address table (NMI memory)</t>
  </si>
  <si>
    <t>MOS ROM workspace</t>
  </si>
  <si>
    <t>1 K9 sprite</t>
  </si>
  <si>
    <t>Sound effects</t>
  </si>
  <si>
    <t>9 K9 sprites</t>
  </si>
  <si>
    <t>elevator sprite</t>
  </si>
  <si>
    <t>4 elevator sprites</t>
  </si>
  <si>
    <t>drawObject jump tables</t>
  </si>
  <si>
    <t>&amp;10EB</t>
  </si>
  <si>
    <t>Sprite health bar table</t>
  </si>
  <si>
    <t>Enemy health bar atlas (NMI memory)</t>
  </si>
  <si>
    <t>Tile types (keyboard buffer)</t>
  </si>
  <si>
    <t>Draw object jump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</si>
</sst>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7" xfId="0" applyBorder="1"/>
    <xf numFmtId="0" fontId="1" fillId="0" borderId="12" xfId="0" applyFont="1" applyBorder="1"/>
    <xf numFmtId="3" fontId="0" fillId="0" borderId="0" xfId="0" applyNumberFormat="1"/>
    <xf numFmtId="0" fontId="0" fillId="0" borderId="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7" xfId="0" applyFont="1" applyBorder="1"/>
    <xf numFmtId="0" fontId="1" fillId="0" borderId="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25" xfId="0" applyBorder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0" fillId="0" borderId="21" xfId="0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27" xfId="0" applyBorder="1"/>
    <xf numFmtId="0" fontId="0" fillId="0" borderId="28" xfId="0" applyBorder="1"/>
    <xf numFmtId="0" fontId="1" fillId="0" borderId="0" xfId="0" applyFont="1"/>
    <xf numFmtId="0" fontId="0" fillId="0" borderId="4" xfId="0" applyBorder="1"/>
    <xf numFmtId="0" fontId="1" fillId="0" borderId="4" xfId="0" applyFont="1" applyBorder="1" applyAlignment="1">
      <alignment horizontal="center"/>
    </xf>
    <xf numFmtId="0" fontId="0" fillId="0" borderId="6" xfId="0" applyBorder="1"/>
    <xf numFmtId="0" fontId="1" fillId="0" borderId="26" xfId="0" applyFont="1" applyBorder="1"/>
    <xf numFmtId="0" fontId="1" fillId="0" borderId="27" xfId="0" applyFont="1" applyBorder="1"/>
    <xf numFmtId="0" fontId="1" fillId="0" borderId="27" xfId="0" applyFont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0" xfId="0" quotePrefix="1"/>
    <xf numFmtId="0" fontId="1" fillId="0" borderId="29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24" xfId="0" quotePrefix="1" applyBorder="1"/>
    <xf numFmtId="0" fontId="0" fillId="0" borderId="24" xfId="0" applyBorder="1"/>
    <xf numFmtId="0" fontId="0" fillId="0" borderId="9" xfId="0" applyBorder="1"/>
    <xf numFmtId="0" fontId="1" fillId="0" borderId="30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/>
    <xf numFmtId="0" fontId="0" fillId="0" borderId="10" xfId="0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4" xfId="0" applyFill="1" applyBorder="1" applyAlignment="1">
      <alignment horizontal="center"/>
    </xf>
    <xf numFmtId="0" fontId="0" fillId="2" borderId="24" xfId="0" applyFill="1" applyBorder="1"/>
    <xf numFmtId="0" fontId="0" fillId="2" borderId="9" xfId="0" applyFill="1" applyBorder="1"/>
    <xf numFmtId="0" fontId="0" fillId="2" borderId="7" xfId="0" applyFill="1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8" xfId="0" applyFill="1" applyBorder="1"/>
    <xf numFmtId="0" fontId="0" fillId="2" borderId="0" xfId="0" quotePrefix="1" applyFill="1"/>
    <xf numFmtId="0" fontId="1" fillId="0" borderId="5" xfId="0" quotePrefix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4" xfId="0" quotePrefix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322F-64B0-476A-AEFE-F468CB566666}">
  <sheetPr codeName="Sheet1"/>
  <dimension ref="B1:R100"/>
  <sheetViews>
    <sheetView tabSelected="1" workbookViewId="0"/>
  </sheetViews>
  <sheetFormatPr defaultRowHeight="14.5" x14ac:dyDescent="0.35"/>
  <cols>
    <col min="1" max="1" width="2.81640625" customWidth="1"/>
    <col min="2" max="2" width="18.1796875" customWidth="1"/>
    <col min="3" max="16" width="9.7265625" customWidth="1"/>
  </cols>
  <sheetData>
    <row r="1" spans="2:18" ht="15" thickBot="1" x14ac:dyDescent="0.4"/>
    <row r="2" spans="2:18" x14ac:dyDescent="0.35">
      <c r="B2" s="88" t="s">
        <v>4</v>
      </c>
      <c r="C2" s="90" t="s">
        <v>0</v>
      </c>
      <c r="D2" s="85" t="s">
        <v>2</v>
      </c>
      <c r="E2" s="84" t="s">
        <v>24</v>
      </c>
      <c r="F2" s="87"/>
      <c r="G2" s="84" t="s">
        <v>13</v>
      </c>
      <c r="H2" s="85"/>
      <c r="I2" s="86" t="s">
        <v>12</v>
      </c>
      <c r="J2" s="87"/>
      <c r="K2" s="84" t="s">
        <v>14</v>
      </c>
      <c r="L2" s="85"/>
      <c r="M2" s="86" t="s">
        <v>15</v>
      </c>
      <c r="N2" s="87"/>
      <c r="O2" s="43" t="s">
        <v>6</v>
      </c>
      <c r="P2" s="14" t="str">
        <f>DEC2HEX(HEX2DEC(3030)-P14)</f>
        <v>2B90</v>
      </c>
      <c r="R2" s="15"/>
    </row>
    <row r="3" spans="2:18" x14ac:dyDescent="0.35">
      <c r="B3" s="89"/>
      <c r="C3" s="91"/>
      <c r="D3" s="92"/>
      <c r="E3" s="91" t="s">
        <v>25</v>
      </c>
      <c r="F3" s="93"/>
      <c r="G3" s="91" t="s">
        <v>25</v>
      </c>
      <c r="H3" s="92"/>
      <c r="I3" s="41"/>
      <c r="J3" s="40"/>
      <c r="K3" s="91" t="s">
        <v>25</v>
      </c>
      <c r="L3" s="92"/>
      <c r="M3" s="93" t="s">
        <v>25</v>
      </c>
      <c r="N3" s="93"/>
      <c r="O3" s="42"/>
      <c r="P3" s="24"/>
      <c r="R3" s="15"/>
    </row>
    <row r="4" spans="2:18" x14ac:dyDescent="0.35">
      <c r="B4" s="89"/>
      <c r="C4" s="91"/>
      <c r="D4" s="92"/>
      <c r="E4" s="21" t="s">
        <v>0</v>
      </c>
      <c r="F4" s="22" t="s">
        <v>1</v>
      </c>
      <c r="G4" s="26" t="s">
        <v>0</v>
      </c>
      <c r="H4" s="27" t="s">
        <v>1</v>
      </c>
      <c r="I4" s="22" t="s">
        <v>0</v>
      </c>
      <c r="J4" s="22" t="s">
        <v>1</v>
      </c>
      <c r="K4" s="21" t="s">
        <v>0</v>
      </c>
      <c r="L4" s="25" t="s">
        <v>1</v>
      </c>
      <c r="M4" s="22" t="s">
        <v>0</v>
      </c>
      <c r="N4" s="22" t="s">
        <v>1</v>
      </c>
      <c r="O4" s="21" t="s">
        <v>0</v>
      </c>
      <c r="P4" s="23" t="s">
        <v>1</v>
      </c>
    </row>
    <row r="5" spans="2:18" x14ac:dyDescent="0.35">
      <c r="B5" s="36" t="s">
        <v>37</v>
      </c>
      <c r="C5" s="9">
        <v>10</v>
      </c>
      <c r="D5" s="32">
        <v>48</v>
      </c>
      <c r="E5" s="31">
        <v>0</v>
      </c>
      <c r="F5" s="31">
        <f>E5*$D5</f>
        <v>0</v>
      </c>
      <c r="G5" s="35">
        <v>0</v>
      </c>
      <c r="H5" s="32">
        <f>G5*$D5</f>
        <v>0</v>
      </c>
      <c r="I5" s="31">
        <v>10</v>
      </c>
      <c r="J5" s="31">
        <f>I5*$D5</f>
        <v>480</v>
      </c>
      <c r="K5" s="35">
        <v>0</v>
      </c>
      <c r="L5" s="32">
        <f>K5*$D5</f>
        <v>0</v>
      </c>
      <c r="M5" s="31">
        <v>0</v>
      </c>
      <c r="N5" s="31">
        <f>M5*$D5</f>
        <v>0</v>
      </c>
      <c r="O5" s="35">
        <v>0</v>
      </c>
      <c r="P5" s="37">
        <f>O5*$D5</f>
        <v>0</v>
      </c>
    </row>
    <row r="6" spans="2:18" x14ac:dyDescent="0.35">
      <c r="B6" s="1" t="s">
        <v>55</v>
      </c>
      <c r="C6" s="19">
        <v>1</v>
      </c>
      <c r="D6" s="5">
        <v>48</v>
      </c>
      <c r="E6" s="30">
        <v>0</v>
      </c>
      <c r="F6" s="30">
        <f>E6*$D6</f>
        <v>0</v>
      </c>
      <c r="G6" s="4">
        <v>0</v>
      </c>
      <c r="H6" s="5">
        <f>G6*$D6</f>
        <v>0</v>
      </c>
      <c r="I6" s="30">
        <v>1</v>
      </c>
      <c r="J6" s="30">
        <f>I6*$D6</f>
        <v>48</v>
      </c>
      <c r="K6" s="4">
        <v>0</v>
      </c>
      <c r="L6" s="5">
        <f>K6*$D6</f>
        <v>0</v>
      </c>
      <c r="M6" s="30">
        <v>0</v>
      </c>
      <c r="N6" s="30">
        <f>M6*$D6</f>
        <v>0</v>
      </c>
      <c r="O6" s="4">
        <v>0</v>
      </c>
      <c r="P6" s="6">
        <f>O6*$D6</f>
        <v>0</v>
      </c>
    </row>
    <row r="7" spans="2:18" x14ac:dyDescent="0.35">
      <c r="B7" s="1" t="s">
        <v>39</v>
      </c>
      <c r="C7" s="19">
        <v>11</v>
      </c>
      <c r="D7" s="5">
        <f>(24*32/4)</f>
        <v>192</v>
      </c>
      <c r="E7" s="30">
        <v>1</v>
      </c>
      <c r="F7" s="30">
        <f t="shared" ref="F7" si="0">E7*$D7</f>
        <v>192</v>
      </c>
      <c r="G7" s="4">
        <v>1</v>
      </c>
      <c r="H7" s="5">
        <f t="shared" ref="H7" si="1">G7*$D7</f>
        <v>192</v>
      </c>
      <c r="I7" s="30">
        <v>2</v>
      </c>
      <c r="J7" s="30">
        <f t="shared" ref="J7" si="2">I7*$D7</f>
        <v>384</v>
      </c>
      <c r="K7" s="4">
        <v>5</v>
      </c>
      <c r="L7" s="5">
        <f t="shared" ref="L7" si="3">K7*$D7</f>
        <v>960</v>
      </c>
      <c r="M7" s="30">
        <v>2</v>
      </c>
      <c r="N7" s="30">
        <f t="shared" ref="N7" si="4">M7*$D7</f>
        <v>384</v>
      </c>
      <c r="O7" s="4">
        <v>0</v>
      </c>
      <c r="P7" s="6">
        <f t="shared" ref="P7" si="5">O7*$D7</f>
        <v>0</v>
      </c>
    </row>
    <row r="8" spans="2:18" x14ac:dyDescent="0.35">
      <c r="B8" s="1" t="s">
        <v>38</v>
      </c>
      <c r="C8" s="19">
        <v>4</v>
      </c>
      <c r="D8" s="5">
        <f>32*4/4</f>
        <v>32</v>
      </c>
      <c r="E8" s="30">
        <v>0</v>
      </c>
      <c r="F8" s="30">
        <f t="shared" ref="F8:F11" si="6">E8*$D8</f>
        <v>0</v>
      </c>
      <c r="G8" s="4">
        <v>1</v>
      </c>
      <c r="H8" s="5">
        <f t="shared" ref="H8:H11" si="7">G8*$D8</f>
        <v>32</v>
      </c>
      <c r="I8" s="30">
        <v>0</v>
      </c>
      <c r="J8" s="30">
        <f t="shared" ref="J8:J11" si="8">I8*$D8</f>
        <v>0</v>
      </c>
      <c r="K8" s="4">
        <v>2</v>
      </c>
      <c r="L8" s="5">
        <f t="shared" ref="L8:L11" si="9">K8*$D8</f>
        <v>64</v>
      </c>
      <c r="M8" s="30">
        <v>1</v>
      </c>
      <c r="N8" s="30">
        <f t="shared" ref="N8:N11" si="10">M8*$D8</f>
        <v>32</v>
      </c>
      <c r="O8" s="4">
        <v>0</v>
      </c>
      <c r="P8" s="6">
        <f t="shared" ref="P8:P11" si="11">O8*$D8</f>
        <v>0</v>
      </c>
    </row>
    <row r="9" spans="2:18" x14ac:dyDescent="0.35">
      <c r="B9" s="1" t="s">
        <v>40</v>
      </c>
      <c r="C9" s="19">
        <v>11</v>
      </c>
      <c r="D9" s="5">
        <f>(24*16/4)</f>
        <v>96</v>
      </c>
      <c r="E9" s="30">
        <v>0</v>
      </c>
      <c r="F9" s="30">
        <f t="shared" si="6"/>
        <v>0</v>
      </c>
      <c r="G9" s="4">
        <v>0</v>
      </c>
      <c r="H9" s="5">
        <f t="shared" si="7"/>
        <v>0</v>
      </c>
      <c r="I9" s="30">
        <v>1</v>
      </c>
      <c r="J9" s="30">
        <f t="shared" si="8"/>
        <v>96</v>
      </c>
      <c r="K9" s="4">
        <v>0</v>
      </c>
      <c r="L9" s="5">
        <f t="shared" si="9"/>
        <v>0</v>
      </c>
      <c r="M9" s="30">
        <v>1</v>
      </c>
      <c r="N9" s="30">
        <f t="shared" si="10"/>
        <v>96</v>
      </c>
      <c r="O9" s="4">
        <v>9</v>
      </c>
      <c r="P9" s="6">
        <f t="shared" si="11"/>
        <v>864</v>
      </c>
    </row>
    <row r="10" spans="2:18" x14ac:dyDescent="0.35">
      <c r="B10" s="1" t="s">
        <v>65</v>
      </c>
      <c r="C10" s="19">
        <v>4</v>
      </c>
      <c r="D10" s="5">
        <f>32*3/4</f>
        <v>24</v>
      </c>
      <c r="E10" s="30">
        <v>0</v>
      </c>
      <c r="F10" s="30">
        <f>E10*$D10</f>
        <v>0</v>
      </c>
      <c r="G10" s="4">
        <v>0</v>
      </c>
      <c r="H10" s="5">
        <f>G10*$D10</f>
        <v>0</v>
      </c>
      <c r="I10" s="30">
        <v>0</v>
      </c>
      <c r="J10" s="30">
        <f>I10*$D10</f>
        <v>0</v>
      </c>
      <c r="K10" s="4">
        <v>0</v>
      </c>
      <c r="L10" s="5">
        <f>K10*$D10</f>
        <v>0</v>
      </c>
      <c r="M10" s="30">
        <v>0</v>
      </c>
      <c r="N10" s="30">
        <f>M10*$D10</f>
        <v>0</v>
      </c>
      <c r="O10" s="4">
        <v>4</v>
      </c>
      <c r="P10" s="6">
        <f>O10*$D10</f>
        <v>96</v>
      </c>
    </row>
    <row r="11" spans="2:18" x14ac:dyDescent="0.35">
      <c r="B11" s="1" t="s">
        <v>41</v>
      </c>
      <c r="C11" s="19">
        <v>1</v>
      </c>
      <c r="D11" s="5">
        <v>224</v>
      </c>
      <c r="E11" s="30">
        <v>0</v>
      </c>
      <c r="F11" s="30">
        <f t="shared" si="6"/>
        <v>0</v>
      </c>
      <c r="G11" s="4">
        <v>0</v>
      </c>
      <c r="H11" s="5">
        <f t="shared" si="7"/>
        <v>0</v>
      </c>
      <c r="I11" s="30">
        <v>0</v>
      </c>
      <c r="J11" s="30">
        <f t="shared" si="8"/>
        <v>0</v>
      </c>
      <c r="K11" s="4">
        <v>0</v>
      </c>
      <c r="L11" s="5">
        <f t="shared" si="9"/>
        <v>0</v>
      </c>
      <c r="M11" s="30">
        <v>0</v>
      </c>
      <c r="N11" s="30">
        <f t="shared" si="10"/>
        <v>0</v>
      </c>
      <c r="O11" s="4">
        <v>1</v>
      </c>
      <c r="P11" s="6">
        <f t="shared" si="11"/>
        <v>224</v>
      </c>
    </row>
    <row r="12" spans="2:18" x14ac:dyDescent="0.35">
      <c r="B12" s="1" t="s">
        <v>11</v>
      </c>
      <c r="C12" s="19">
        <v>1</v>
      </c>
      <c r="D12" s="5">
        <v>32</v>
      </c>
      <c r="E12" s="30">
        <v>0</v>
      </c>
      <c r="F12" s="30">
        <f>E12*$D12</f>
        <v>0</v>
      </c>
      <c r="G12" s="4">
        <v>1</v>
      </c>
      <c r="H12" s="5">
        <f>G12*$D12</f>
        <v>32</v>
      </c>
      <c r="I12" s="30">
        <v>0</v>
      </c>
      <c r="J12" s="30">
        <f>I12*$D12</f>
        <v>0</v>
      </c>
      <c r="K12" s="4">
        <v>0</v>
      </c>
      <c r="L12" s="5">
        <f>K12*$D12</f>
        <v>0</v>
      </c>
      <c r="M12" s="30">
        <v>0</v>
      </c>
      <c r="N12" s="30">
        <f>M12*$D12</f>
        <v>0</v>
      </c>
      <c r="O12" s="4">
        <v>0</v>
      </c>
      <c r="P12" s="6">
        <f>O12*$D12</f>
        <v>0</v>
      </c>
    </row>
    <row r="13" spans="2:18" x14ac:dyDescent="0.35">
      <c r="B13" s="38" t="s">
        <v>36</v>
      </c>
      <c r="C13" s="34">
        <v>1</v>
      </c>
      <c r="D13" s="8">
        <v>16</v>
      </c>
      <c r="E13" s="33">
        <v>0</v>
      </c>
      <c r="F13" s="33">
        <f t="shared" ref="F13" si="12">E13*$D13</f>
        <v>0</v>
      </c>
      <c r="G13" s="7">
        <v>0</v>
      </c>
      <c r="H13" s="8">
        <f t="shared" ref="H13" si="13">G13*$D13</f>
        <v>0</v>
      </c>
      <c r="I13" s="33">
        <v>1</v>
      </c>
      <c r="J13" s="33">
        <f>I13*$D13</f>
        <v>16</v>
      </c>
      <c r="K13" s="7">
        <v>0</v>
      </c>
      <c r="L13" s="8">
        <f t="shared" ref="L13" si="14">K13*$D13</f>
        <v>0</v>
      </c>
      <c r="M13" s="33">
        <v>0</v>
      </c>
      <c r="N13" s="33">
        <f t="shared" ref="N13" si="15">M13*$D13</f>
        <v>0</v>
      </c>
      <c r="O13" s="7">
        <v>0</v>
      </c>
      <c r="P13" s="39">
        <f t="shared" ref="P13" si="16">O13*$D13</f>
        <v>0</v>
      </c>
    </row>
    <row r="14" spans="2:18" x14ac:dyDescent="0.35">
      <c r="B14" s="18" t="s">
        <v>1</v>
      </c>
      <c r="C14" s="19"/>
      <c r="D14" s="20"/>
      <c r="E14" s="28"/>
      <c r="F14" s="28">
        <f>SUM(F5:F13)</f>
        <v>192</v>
      </c>
      <c r="G14" s="19"/>
      <c r="H14" s="20">
        <f>SUM(H5:H13)</f>
        <v>256</v>
      </c>
      <c r="I14" s="28"/>
      <c r="J14" s="28">
        <f>SUM(J5:J13)</f>
        <v>1024</v>
      </c>
      <c r="K14" s="19"/>
      <c r="L14" s="20">
        <f>SUM(L5:L13)</f>
        <v>1024</v>
      </c>
      <c r="M14" s="28"/>
      <c r="N14" s="28">
        <f>SUM(N5:N13)</f>
        <v>512</v>
      </c>
      <c r="O14" s="19"/>
      <c r="P14" s="29">
        <f>SUM(P5:P13)</f>
        <v>1184</v>
      </c>
    </row>
    <row r="15" spans="2:18" x14ac:dyDescent="0.35">
      <c r="B15" s="18" t="s">
        <v>16</v>
      </c>
      <c r="C15" s="19"/>
      <c r="D15" s="20"/>
      <c r="E15" s="28"/>
      <c r="F15" s="30">
        <v>192</v>
      </c>
      <c r="G15" s="4"/>
      <c r="H15" s="5">
        <v>256</v>
      </c>
      <c r="I15" s="30"/>
      <c r="J15" s="30">
        <v>1024</v>
      </c>
      <c r="K15" s="4"/>
      <c r="L15" s="5">
        <v>1024</v>
      </c>
      <c r="M15" s="30"/>
      <c r="N15" s="30">
        <v>512</v>
      </c>
      <c r="O15" s="4"/>
      <c r="P15" s="6"/>
    </row>
    <row r="16" spans="2:18" ht="15" thickBot="1" x14ac:dyDescent="0.4">
      <c r="B16" s="2" t="s">
        <v>3</v>
      </c>
      <c r="C16" s="10"/>
      <c r="D16" s="11"/>
      <c r="E16" s="16" t="s">
        <v>5</v>
      </c>
      <c r="F16" s="16">
        <f>256-F14</f>
        <v>64</v>
      </c>
      <c r="G16" s="10"/>
      <c r="H16" s="44">
        <f>H15-H14</f>
        <v>0</v>
      </c>
      <c r="I16" s="12"/>
      <c r="J16" s="16">
        <f>J15-J14</f>
        <v>0</v>
      </c>
      <c r="K16" s="10"/>
      <c r="L16" s="44">
        <f>L15-L14</f>
        <v>0</v>
      </c>
      <c r="M16" s="12"/>
      <c r="N16" s="16">
        <f>N15-N14</f>
        <v>0</v>
      </c>
      <c r="O16" s="10"/>
      <c r="P16" s="13"/>
    </row>
    <row r="17" spans="2:16" x14ac:dyDescent="0.35">
      <c r="P17" s="3"/>
    </row>
    <row r="18" spans="2:16" ht="15" thickBot="1" x14ac:dyDescent="0.4">
      <c r="P18" s="3"/>
    </row>
    <row r="19" spans="2:16" ht="15" thickBot="1" x14ac:dyDescent="0.4">
      <c r="B19" s="64" t="s">
        <v>7</v>
      </c>
      <c r="C19" s="57" t="s">
        <v>22</v>
      </c>
      <c r="D19" s="65" t="s">
        <v>8</v>
      </c>
      <c r="E19" s="56"/>
      <c r="F19" s="58"/>
      <c r="H19" s="59" t="s">
        <v>54</v>
      </c>
      <c r="I19" s="53"/>
      <c r="J19" s="60" t="s">
        <v>7</v>
      </c>
      <c r="K19" s="61" t="s">
        <v>2</v>
      </c>
      <c r="L19" s="60" t="s">
        <v>43</v>
      </c>
      <c r="M19" s="53"/>
      <c r="N19" s="54"/>
    </row>
    <row r="20" spans="2:16" x14ac:dyDescent="0.35">
      <c r="B20" s="62">
        <v>100</v>
      </c>
      <c r="C20" s="66">
        <f>(24*32/4)</f>
        <v>192</v>
      </c>
      <c r="D20" s="56" t="s">
        <v>26</v>
      </c>
      <c r="E20" s="56"/>
      <c r="F20" s="58"/>
      <c r="H20" s="47" t="s">
        <v>42</v>
      </c>
      <c r="I20" s="17"/>
      <c r="J20" t="s">
        <v>44</v>
      </c>
      <c r="K20" s="30">
        <v>30</v>
      </c>
      <c r="L20" t="s">
        <v>46</v>
      </c>
      <c r="N20" s="48"/>
    </row>
    <row r="21" spans="2:16" x14ac:dyDescent="0.35">
      <c r="B21" s="67" t="str">
        <f t="shared" ref="B21:B47" si="17">DEC2HEX(HEX2DEC(B20)+C20)</f>
        <v>1C0</v>
      </c>
      <c r="C21" s="33">
        <v>64</v>
      </c>
      <c r="D21" s="68" t="s">
        <v>34</v>
      </c>
      <c r="E21" s="69"/>
      <c r="F21" s="70"/>
      <c r="H21" s="47" t="s">
        <v>17</v>
      </c>
      <c r="I21" s="17"/>
      <c r="J21" t="s">
        <v>45</v>
      </c>
      <c r="K21" s="30">
        <v>64</v>
      </c>
      <c r="L21" t="s">
        <v>46</v>
      </c>
      <c r="N21" s="48"/>
    </row>
    <row r="22" spans="2:16" x14ac:dyDescent="0.35">
      <c r="B22" s="75" t="str">
        <f t="shared" si="17"/>
        <v>200</v>
      </c>
      <c r="C22" s="76">
        <v>256</v>
      </c>
      <c r="D22" s="77" t="s">
        <v>9</v>
      </c>
      <c r="E22" s="77"/>
      <c r="F22" s="78"/>
      <c r="H22" s="47" t="s">
        <v>18</v>
      </c>
      <c r="I22" s="17"/>
      <c r="J22" t="s">
        <v>48</v>
      </c>
      <c r="K22" s="30">
        <v>64</v>
      </c>
      <c r="L22" t="s">
        <v>47</v>
      </c>
      <c r="N22" s="48"/>
    </row>
    <row r="23" spans="2:16" x14ac:dyDescent="0.35">
      <c r="B23" s="47" t="str">
        <f t="shared" si="17"/>
        <v>300</v>
      </c>
      <c r="C23" s="30">
        <v>192</v>
      </c>
      <c r="D23" t="s">
        <v>26</v>
      </c>
      <c r="F23" s="48"/>
      <c r="H23" s="47" t="s">
        <v>35</v>
      </c>
      <c r="I23" s="17"/>
      <c r="J23" t="s">
        <v>50</v>
      </c>
      <c r="K23" s="30">
        <v>44</v>
      </c>
      <c r="L23" t="s">
        <v>52</v>
      </c>
      <c r="N23" s="48"/>
    </row>
    <row r="24" spans="2:16" x14ac:dyDescent="0.35">
      <c r="B24" s="47" t="str">
        <f t="shared" si="17"/>
        <v>3C0</v>
      </c>
      <c r="C24" s="30">
        <f>$D$8</f>
        <v>32</v>
      </c>
      <c r="D24" s="63" t="s">
        <v>27</v>
      </c>
      <c r="F24" s="48"/>
      <c r="H24" s="47" t="s">
        <v>49</v>
      </c>
      <c r="I24" s="17"/>
      <c r="J24" t="s">
        <v>51</v>
      </c>
      <c r="K24" s="30">
        <v>12</v>
      </c>
      <c r="L24" t="s">
        <v>53</v>
      </c>
      <c r="N24" s="48"/>
    </row>
    <row r="25" spans="2:16" ht="15" thickBot="1" x14ac:dyDescent="0.4">
      <c r="B25" s="67" t="str">
        <f t="shared" si="17"/>
        <v>3E0</v>
      </c>
      <c r="C25" s="33">
        <v>32</v>
      </c>
      <c r="D25" s="69" t="s">
        <v>71</v>
      </c>
      <c r="E25" s="69"/>
      <c r="F25" s="70"/>
      <c r="H25" s="49" t="s">
        <v>67</v>
      </c>
      <c r="I25" s="50"/>
      <c r="J25" s="50" t="s">
        <v>68</v>
      </c>
      <c r="K25" s="16">
        <v>20</v>
      </c>
      <c r="L25" s="51" t="s">
        <v>53</v>
      </c>
      <c r="M25" s="51"/>
      <c r="N25" s="52"/>
    </row>
    <row r="26" spans="2:16" x14ac:dyDescent="0.35">
      <c r="B26" s="47" t="str">
        <f t="shared" si="17"/>
        <v>400</v>
      </c>
      <c r="C26" s="30">
        <v>480</v>
      </c>
      <c r="D26" t="s">
        <v>56</v>
      </c>
      <c r="F26" s="48"/>
      <c r="H26" s="17"/>
      <c r="I26" s="17"/>
      <c r="K26" s="30"/>
    </row>
    <row r="27" spans="2:16" x14ac:dyDescent="0.35">
      <c r="B27" s="47" t="str">
        <f t="shared" si="17"/>
        <v>5E0</v>
      </c>
      <c r="C27" s="30">
        <v>48</v>
      </c>
      <c r="D27" t="s">
        <v>57</v>
      </c>
      <c r="F27" s="48"/>
    </row>
    <row r="28" spans="2:16" x14ac:dyDescent="0.35">
      <c r="B28" s="47" t="str">
        <f t="shared" si="17"/>
        <v>610</v>
      </c>
      <c r="C28" s="30">
        <v>384</v>
      </c>
      <c r="D28" t="s">
        <v>20</v>
      </c>
      <c r="F28" s="48"/>
      <c r="I28" s="55"/>
    </row>
    <row r="29" spans="2:16" x14ac:dyDescent="0.35">
      <c r="B29" s="47" t="str">
        <f t="shared" si="17"/>
        <v>790</v>
      </c>
      <c r="C29" s="30">
        <v>96</v>
      </c>
      <c r="D29" t="s">
        <v>58</v>
      </c>
      <c r="F29" s="48"/>
    </row>
    <row r="30" spans="2:16" x14ac:dyDescent="0.35">
      <c r="B30" s="67" t="str">
        <f t="shared" si="17"/>
        <v>7F0</v>
      </c>
      <c r="C30" s="33">
        <v>16</v>
      </c>
      <c r="D30" s="68" t="s">
        <v>31</v>
      </c>
      <c r="E30" s="69"/>
      <c r="F30" s="70"/>
    </row>
    <row r="31" spans="2:16" x14ac:dyDescent="0.35">
      <c r="B31" s="79" t="str">
        <f t="shared" si="17"/>
        <v>800</v>
      </c>
      <c r="C31" s="80">
        <v>128</v>
      </c>
      <c r="D31" s="81" t="s">
        <v>29</v>
      </c>
      <c r="E31" s="81"/>
      <c r="F31" s="82"/>
    </row>
    <row r="32" spans="2:16" x14ac:dyDescent="0.35">
      <c r="B32" s="47" t="str">
        <f t="shared" si="17"/>
        <v>880</v>
      </c>
      <c r="C32" s="30">
        <v>64</v>
      </c>
      <c r="D32" s="63" t="s">
        <v>59</v>
      </c>
      <c r="F32" s="48"/>
    </row>
    <row r="33" spans="2:8" x14ac:dyDescent="0.35">
      <c r="B33" s="75" t="str">
        <f t="shared" si="17"/>
        <v>8C0</v>
      </c>
      <c r="C33" s="76">
        <f>2*$D$8</f>
        <v>64</v>
      </c>
      <c r="D33" s="77" t="s">
        <v>29</v>
      </c>
      <c r="E33" s="77"/>
      <c r="F33" s="78"/>
      <c r="H33" s="55"/>
    </row>
    <row r="34" spans="2:8" x14ac:dyDescent="0.35">
      <c r="B34" s="47" t="str">
        <f t="shared" si="17"/>
        <v>900</v>
      </c>
      <c r="C34" s="30">
        <v>960</v>
      </c>
      <c r="D34" t="s">
        <v>19</v>
      </c>
      <c r="F34" s="48"/>
    </row>
    <row r="35" spans="2:8" x14ac:dyDescent="0.35">
      <c r="B35" s="67" t="str">
        <f t="shared" si="17"/>
        <v>CC0</v>
      </c>
      <c r="C35" s="33">
        <v>64</v>
      </c>
      <c r="D35" s="69" t="s">
        <v>28</v>
      </c>
      <c r="E35" s="69"/>
      <c r="F35" s="70"/>
      <c r="H35" s="55"/>
    </row>
    <row r="36" spans="2:8" x14ac:dyDescent="0.35">
      <c r="B36" s="47" t="str">
        <f t="shared" si="17"/>
        <v>D00</v>
      </c>
      <c r="C36" s="30">
        <v>32</v>
      </c>
      <c r="D36" s="63" t="s">
        <v>70</v>
      </c>
      <c r="F36" s="48"/>
    </row>
    <row r="37" spans="2:8" x14ac:dyDescent="0.35">
      <c r="B37" s="47" t="str">
        <f t="shared" si="17"/>
        <v>D20</v>
      </c>
      <c r="C37" s="30">
        <v>64</v>
      </c>
      <c r="D37" t="s">
        <v>60</v>
      </c>
      <c r="F37" s="48"/>
    </row>
    <row r="38" spans="2:8" x14ac:dyDescent="0.35">
      <c r="B38" s="75" t="str">
        <f t="shared" si="17"/>
        <v>D60</v>
      </c>
      <c r="C38" s="76">
        <v>160</v>
      </c>
      <c r="D38" s="77" t="s">
        <v>61</v>
      </c>
      <c r="E38" s="77"/>
      <c r="F38" s="78"/>
      <c r="H38" s="3"/>
    </row>
    <row r="39" spans="2:8" x14ac:dyDescent="0.35">
      <c r="B39" s="47" t="str">
        <f t="shared" si="17"/>
        <v>E00</v>
      </c>
      <c r="C39" s="30">
        <v>384</v>
      </c>
      <c r="D39" s="63" t="s">
        <v>20</v>
      </c>
      <c r="F39" s="48"/>
      <c r="H39" s="3"/>
    </row>
    <row r="40" spans="2:8" x14ac:dyDescent="0.35">
      <c r="B40" s="47" t="str">
        <f t="shared" si="17"/>
        <v>F80</v>
      </c>
      <c r="C40" s="30">
        <v>32</v>
      </c>
      <c r="D40" s="63" t="s">
        <v>27</v>
      </c>
      <c r="F40" s="48"/>
    </row>
    <row r="41" spans="2:8" x14ac:dyDescent="0.35">
      <c r="B41" s="67" t="str">
        <f t="shared" si="17"/>
        <v>FA0</v>
      </c>
      <c r="C41" s="33">
        <v>96</v>
      </c>
      <c r="D41" s="68" t="s">
        <v>62</v>
      </c>
      <c r="E41" s="69"/>
      <c r="F41" s="70"/>
    </row>
    <row r="42" spans="2:8" x14ac:dyDescent="0.35">
      <c r="B42" s="79" t="str">
        <f t="shared" si="17"/>
        <v>1000</v>
      </c>
      <c r="C42" s="80">
        <v>144</v>
      </c>
      <c r="D42" s="83" t="s">
        <v>23</v>
      </c>
      <c r="E42" s="81"/>
      <c r="F42" s="82"/>
    </row>
    <row r="43" spans="2:8" x14ac:dyDescent="0.35">
      <c r="B43" s="47" t="str">
        <f t="shared" si="17"/>
        <v>1090</v>
      </c>
      <c r="C43" s="30">
        <v>48</v>
      </c>
      <c r="D43" s="63" t="s">
        <v>63</v>
      </c>
      <c r="F43" s="48"/>
    </row>
    <row r="44" spans="2:8" x14ac:dyDescent="0.35">
      <c r="B44" s="47" t="str">
        <f t="shared" si="17"/>
        <v>10C0</v>
      </c>
      <c r="C44" s="30">
        <v>32</v>
      </c>
      <c r="D44" s="63" t="s">
        <v>23</v>
      </c>
      <c r="F44" s="48"/>
    </row>
    <row r="45" spans="2:8" x14ac:dyDescent="0.35">
      <c r="B45" s="47" t="str">
        <f t="shared" si="17"/>
        <v>10E0</v>
      </c>
      <c r="C45" s="30">
        <v>12</v>
      </c>
      <c r="D45" s="63" t="s">
        <v>69</v>
      </c>
      <c r="F45" s="48"/>
    </row>
    <row r="46" spans="2:8" x14ac:dyDescent="0.35">
      <c r="B46" s="67" t="str">
        <f t="shared" si="17"/>
        <v>10EC</v>
      </c>
      <c r="C46" s="33">
        <v>20</v>
      </c>
      <c r="D46" s="68" t="s">
        <v>72</v>
      </c>
      <c r="E46" s="69"/>
      <c r="F46" s="70"/>
    </row>
    <row r="47" spans="2:8" x14ac:dyDescent="0.35">
      <c r="B47" s="47" t="str">
        <f t="shared" si="17"/>
        <v>1100</v>
      </c>
      <c r="C47" s="71">
        <f>HEX2DEC(B49)-HEX2DEC(B47)</f>
        <v>7680</v>
      </c>
      <c r="D47" s="72" t="s">
        <v>10</v>
      </c>
      <c r="E47" s="72"/>
      <c r="F47" s="73"/>
    </row>
    <row r="48" spans="2:8" x14ac:dyDescent="0.35">
      <c r="B48" s="74" t="str">
        <f t="shared" ref="B48" si="18">DEC2HEX(HEX2DEC(B49)-C48)</f>
        <v>2BA0</v>
      </c>
      <c r="C48" s="30">
        <v>864</v>
      </c>
      <c r="D48" t="s">
        <v>64</v>
      </c>
      <c r="F48" s="48"/>
    </row>
    <row r="49" spans="2:6" x14ac:dyDescent="0.35">
      <c r="B49" s="47" t="str">
        <f t="shared" ref="B49:B51" si="19">DEC2HEX(HEX2DEC(B50)-C49)</f>
        <v>2F00</v>
      </c>
      <c r="C49" s="30">
        <v>96</v>
      </c>
      <c r="D49" t="s">
        <v>66</v>
      </c>
      <c r="F49" s="48"/>
    </row>
    <row r="50" spans="2:6" x14ac:dyDescent="0.35">
      <c r="B50" s="67" t="str">
        <f>DEC2HEX(HEX2DEC(B51)-C50)</f>
        <v>2F60</v>
      </c>
      <c r="C50" s="33">
        <f>$D$11</f>
        <v>224</v>
      </c>
      <c r="D50" s="69" t="s">
        <v>30</v>
      </c>
      <c r="E50" s="69"/>
      <c r="F50" s="70"/>
    </row>
    <row r="51" spans="2:6" x14ac:dyDescent="0.35">
      <c r="B51" s="47" t="str">
        <f t="shared" si="19"/>
        <v>3040</v>
      </c>
      <c r="C51" s="30">
        <f>64*31</f>
        <v>1984</v>
      </c>
      <c r="D51" s="17" t="s">
        <v>32</v>
      </c>
      <c r="F51" s="48"/>
    </row>
    <row r="52" spans="2:6" x14ac:dyDescent="0.35">
      <c r="B52" s="47" t="str">
        <f t="shared" ref="B52" si="20">DEC2HEX(HEX2DEC(B53)-C52)</f>
        <v>3800</v>
      </c>
      <c r="C52" s="30">
        <f>2048</f>
        <v>2048</v>
      </c>
      <c r="D52" s="17" t="s">
        <v>33</v>
      </c>
      <c r="F52" s="48"/>
    </row>
    <row r="53" spans="2:6" ht="15" thickBot="1" x14ac:dyDescent="0.4">
      <c r="B53" s="49">
        <v>4000</v>
      </c>
      <c r="C53" s="16"/>
      <c r="D53" s="50" t="s">
        <v>21</v>
      </c>
      <c r="E53" s="51"/>
      <c r="F53" s="52"/>
    </row>
    <row r="54" spans="2:6" x14ac:dyDescent="0.35">
      <c r="B54" s="17"/>
      <c r="C54" s="17"/>
      <c r="D54" s="17"/>
    </row>
    <row r="55" spans="2:6" x14ac:dyDescent="0.35">
      <c r="B55" s="17"/>
      <c r="C55" s="17"/>
      <c r="D55" s="17"/>
    </row>
    <row r="56" spans="2:6" x14ac:dyDescent="0.35">
      <c r="B56" s="17"/>
      <c r="C56" s="17"/>
      <c r="D56" s="17"/>
    </row>
    <row r="57" spans="2:6" x14ac:dyDescent="0.35">
      <c r="B57" s="17"/>
      <c r="C57" s="17"/>
      <c r="D57" s="17"/>
    </row>
    <row r="58" spans="2:6" x14ac:dyDescent="0.35">
      <c r="B58" s="17"/>
      <c r="C58" s="17"/>
      <c r="D58" s="17"/>
    </row>
    <row r="59" spans="2:6" x14ac:dyDescent="0.35">
      <c r="B59" s="46"/>
      <c r="C59" s="17"/>
      <c r="D59" s="17"/>
    </row>
    <row r="60" spans="2:6" x14ac:dyDescent="0.35">
      <c r="B60" s="46"/>
      <c r="C60" s="17"/>
      <c r="D60" s="17"/>
    </row>
    <row r="61" spans="2:6" x14ac:dyDescent="0.35">
      <c r="B61" s="46"/>
      <c r="C61" s="17"/>
      <c r="D61" s="17"/>
    </row>
    <row r="62" spans="2:6" x14ac:dyDescent="0.35">
      <c r="B62" s="46"/>
      <c r="C62" s="17"/>
      <c r="D62" s="17"/>
    </row>
    <row r="63" spans="2:6" x14ac:dyDescent="0.35">
      <c r="B63" s="46"/>
      <c r="C63" s="17"/>
      <c r="D63" s="17"/>
    </row>
    <row r="64" spans="2:6" x14ac:dyDescent="0.35">
      <c r="B64" s="46"/>
      <c r="C64" s="17"/>
      <c r="D64" s="17"/>
    </row>
    <row r="65" spans="2:4" x14ac:dyDescent="0.35">
      <c r="B65" s="46"/>
      <c r="C65" s="17"/>
      <c r="D65" s="17"/>
    </row>
    <row r="66" spans="2:4" x14ac:dyDescent="0.35">
      <c r="B66" s="46"/>
      <c r="C66" s="17"/>
      <c r="D66" s="17"/>
    </row>
    <row r="67" spans="2:4" x14ac:dyDescent="0.35">
      <c r="B67" s="46"/>
      <c r="C67" s="17"/>
      <c r="D67" s="17"/>
    </row>
    <row r="68" spans="2:4" x14ac:dyDescent="0.35">
      <c r="B68" s="46"/>
      <c r="C68" s="17"/>
      <c r="D68" s="17"/>
    </row>
    <row r="69" spans="2:4" x14ac:dyDescent="0.35">
      <c r="B69" s="46"/>
      <c r="C69" s="17"/>
      <c r="D69" s="17"/>
    </row>
    <row r="70" spans="2:4" x14ac:dyDescent="0.35">
      <c r="B70" s="46"/>
      <c r="C70" s="17"/>
      <c r="D70" s="17"/>
    </row>
    <row r="71" spans="2:4" x14ac:dyDescent="0.35">
      <c r="B71" s="46"/>
      <c r="C71" s="17"/>
      <c r="D71" s="17"/>
    </row>
    <row r="72" spans="2:4" x14ac:dyDescent="0.35">
      <c r="B72" s="46"/>
      <c r="C72" s="17"/>
      <c r="D72" s="17"/>
    </row>
    <row r="73" spans="2:4" x14ac:dyDescent="0.35">
      <c r="B73" s="46"/>
      <c r="C73" s="17"/>
      <c r="D73" s="17"/>
    </row>
    <row r="74" spans="2:4" x14ac:dyDescent="0.35">
      <c r="B74" s="46"/>
    </row>
    <row r="75" spans="2:4" x14ac:dyDescent="0.35">
      <c r="B75" s="46"/>
    </row>
    <row r="76" spans="2:4" x14ac:dyDescent="0.35">
      <c r="B76" s="46"/>
    </row>
    <row r="77" spans="2:4" x14ac:dyDescent="0.35">
      <c r="B77" s="46"/>
    </row>
    <row r="78" spans="2:4" x14ac:dyDescent="0.35">
      <c r="B78" s="46"/>
    </row>
    <row r="79" spans="2:4" x14ac:dyDescent="0.35">
      <c r="B79" s="46"/>
    </row>
    <row r="80" spans="2:4" x14ac:dyDescent="0.35">
      <c r="B80" s="46"/>
    </row>
    <row r="81" spans="2:2" x14ac:dyDescent="0.35">
      <c r="B81" s="46"/>
    </row>
    <row r="82" spans="2:2" x14ac:dyDescent="0.35">
      <c r="B82" s="46"/>
    </row>
    <row r="83" spans="2:2" x14ac:dyDescent="0.35">
      <c r="B83" s="46"/>
    </row>
    <row r="84" spans="2:2" x14ac:dyDescent="0.35">
      <c r="B84" s="46"/>
    </row>
    <row r="85" spans="2:2" x14ac:dyDescent="0.35">
      <c r="B85" s="46"/>
    </row>
    <row r="86" spans="2:2" x14ac:dyDescent="0.35">
      <c r="B86" s="46"/>
    </row>
    <row r="87" spans="2:2" x14ac:dyDescent="0.35">
      <c r="B87" s="46"/>
    </row>
    <row r="88" spans="2:2" x14ac:dyDescent="0.35">
      <c r="B88" s="46"/>
    </row>
    <row r="89" spans="2:2" x14ac:dyDescent="0.35">
      <c r="B89" s="46"/>
    </row>
    <row r="90" spans="2:2" x14ac:dyDescent="0.35">
      <c r="B90" s="46"/>
    </row>
    <row r="91" spans="2:2" x14ac:dyDescent="0.35">
      <c r="B91" s="46"/>
    </row>
    <row r="92" spans="2:2" x14ac:dyDescent="0.35">
      <c r="B92" s="46"/>
    </row>
    <row r="93" spans="2:2" x14ac:dyDescent="0.35">
      <c r="B93" s="46"/>
    </row>
    <row r="94" spans="2:2" x14ac:dyDescent="0.35">
      <c r="B94" s="46"/>
    </row>
    <row r="95" spans="2:2" x14ac:dyDescent="0.35">
      <c r="B95" s="46"/>
    </row>
    <row r="96" spans="2:2" x14ac:dyDescent="0.35">
      <c r="B96" s="46"/>
    </row>
    <row r="97" spans="2:2" x14ac:dyDescent="0.35">
      <c r="B97" s="46"/>
    </row>
    <row r="98" spans="2:2" x14ac:dyDescent="0.35">
      <c r="B98" s="46"/>
    </row>
    <row r="99" spans="2:2" x14ac:dyDescent="0.35">
      <c r="B99" s="46"/>
    </row>
    <row r="100" spans="2:2" x14ac:dyDescent="0.35">
      <c r="B100" s="45"/>
    </row>
  </sheetData>
  <mergeCells count="12">
    <mergeCell ref="G2:H2"/>
    <mergeCell ref="K2:L2"/>
    <mergeCell ref="M2:N2"/>
    <mergeCell ref="B2:B4"/>
    <mergeCell ref="I2:J2"/>
    <mergeCell ref="C2:C4"/>
    <mergeCell ref="D2:D4"/>
    <mergeCell ref="E2:F2"/>
    <mergeCell ref="G3:H3"/>
    <mergeCell ref="M3:N3"/>
    <mergeCell ref="K3:L3"/>
    <mergeCell ref="E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Leece</dc:creator>
  <cp:lastModifiedBy>Mark Leece</cp:lastModifiedBy>
  <dcterms:created xsi:type="dcterms:W3CDTF">2024-12-11T20:10:45Z</dcterms:created>
  <dcterms:modified xsi:type="dcterms:W3CDTF">2025-05-06T04:01:45Z</dcterms:modified>
</cp:coreProperties>
</file>