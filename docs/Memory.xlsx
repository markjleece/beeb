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CACFC71B-9793-43CE-9F6F-AED72F2FF867}" xr6:coauthVersionLast="47" xr6:coauthVersionMax="47" xr10:uidLastSave="{00000000-0000-0000-0000-000000000000}"/>
  <bookViews>
    <workbookView xWindow="-9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69" i="1"/>
  <c r="C68" i="1"/>
  <c r="C62" i="1"/>
  <c r="C63" i="1"/>
  <c r="C64" i="1"/>
  <c r="C65" i="1"/>
  <c r="C66" i="1"/>
  <c r="C67" i="1"/>
  <c r="C60" i="1"/>
  <c r="C61" i="1"/>
  <c r="C59" i="1"/>
  <c r="C58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C51" i="1"/>
  <c r="N11" i="1"/>
  <c r="C54" i="1"/>
  <c r="B54" i="1" s="1"/>
  <c r="B53" i="1" s="1"/>
  <c r="B52" i="1" s="1"/>
  <c r="B51" i="1" s="1"/>
  <c r="B50" i="1" s="1"/>
  <c r="B49" i="1" s="1"/>
  <c r="B48" i="1" s="1"/>
  <c r="D9" i="1"/>
  <c r="P9" i="1" s="1"/>
  <c r="D7" i="1"/>
  <c r="F7" i="1" s="1"/>
  <c r="D8" i="1"/>
  <c r="P8" i="1" s="1"/>
  <c r="F10" i="1" l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<sst xmlns="http://schemas.openxmlformats.org/spreadsheetml/2006/main" count="126" uniqueCount="99">
  <si>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</si>
  <si>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</si>
  <si>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</si>
  <si>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</si>
  <si>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</si>
  <si>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</si>
  <si>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</si>
  <si>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</si>
  <si>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</si>
  <si>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</si>
  <si>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</si>
  <si>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</si>
  <si>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</si>
  <si>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</si>
  <si>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</si>
  <si>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</si>
  <si>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</si>
  <si>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</si>
  <si>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</si>
  <si>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</si>
  <si>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</si>
  <si>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</si>
  <si>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</si>
  <si>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</si>
  <si>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</si>
  <si>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</si>
  <si>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</si>
  <si>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</si>
  <si>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</si>
  <si>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</si>
  <si>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</si>
  <si>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</si>
  <si>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</si>
  <si>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</si>
  <si>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</si>
  <si>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</si>
  <si>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</si>
  <si>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</si>
  <si>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</si>
  <si>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</si>
  <si>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</si>
  <si>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</si>
  <si>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</si>
  <si>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</si>
  <si>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</si>
  <si>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</si>
  <si>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</si>
  <si>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</si>
  <si>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</si>
  <si>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</si>
  <si>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</si>
  <si>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</si>
  <si>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</si>
  <si>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</si>
  <si>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</si>
  <si>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</si>
  <si>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</si>
  <si>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</si>
  <si>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</si>
  <si>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</si>
  <si>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</si>
  <si>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</si>
  <si>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</si>
  <si>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</si>
  <si>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</si>
  <si>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</si>
  <si>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</si>
  <si>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</si>
  <si>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</si>
  <si>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</si>
  <si>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</si>
  <si>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</si>
  <si>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</si>
  <si>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</si>
  <si>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</si>
  <si>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</si>
  <si>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</si>
  <si>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</si>
  <si>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</si>
  <si>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</si>
  <si>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</si>
  <si>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</si>
  <si>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</si>
  <si>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</si>
  <si>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</si>
  <si>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</si>
  <si>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</si>
  <si>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</si>
  <si>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</si>
  <si>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</si>
  <si>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</si>
  <si>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</si>
  <si>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40E3</t>
  </si>
  <si>
    <t>4F93</t>
  </si>
  <si>
    <t>9 game objects array</t>
  </si>
  <si>
    <t>2 K9 sprites</t>
  </si>
  <si>
    <t>561C</t>
  </si>
  <si>
    <t>60B5</t>
  </si>
  <si>
    <t>6D3A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</si>
</sst>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b/>
      <sz val="11"/>
      <color rgb="FF000000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6" fillId="2" borderId="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3" t="s">
        <v>4</v>
      </c>
      <c r="C2" s="115" t="s">
        <v>0</v>
      </c>
      <c r="D2" s="110" t="s">
        <v>2</v>
      </c>
      <c r="E2" s="109" t="s">
        <v>22</v>
      </c>
      <c r="F2" s="112"/>
      <c r="G2" s="109" t="s">
        <v>13</v>
      </c>
      <c r="H2" s="110"/>
      <c r="I2" s="111" t="s">
        <v>12</v>
      </c>
      <c r="J2" s="112"/>
      <c r="K2" s="109" t="s">
        <v>14</v>
      </c>
      <c r="L2" s="110"/>
      <c r="M2" s="111" t="s">
        <v>15</v>
      </c>
      <c r="N2" s="112"/>
      <c r="O2" s="43" t="s">
        <v>6</v>
      </c>
      <c r="P2" s="14" t="str">
        <f>DEC2HEX(HEX2DEC(3130)-P14)</f>
        <v>2C90</v>
      </c>
      <c r="R2" s="15"/>
    </row>
    <row r="3" spans="2:18" x14ac:dyDescent="0.35">
      <c r="B3" s="114"/>
      <c r="C3" s="116"/>
      <c r="D3" s="117"/>
      <c r="E3" s="116" t="s">
        <v>23</v>
      </c>
      <c r="F3" s="118"/>
      <c r="G3" s="116" t="s">
        <v>23</v>
      </c>
      <c r="H3" s="117"/>
      <c r="I3" s="41"/>
      <c r="J3" s="40"/>
      <c r="K3" s="116" t="s">
        <v>23</v>
      </c>
      <c r="L3" s="117"/>
      <c r="M3" s="118" t="s">
        <v>23</v>
      </c>
      <c r="N3" s="118"/>
      <c r="O3" s="42"/>
      <c r="P3" s="24"/>
      <c r="R3" s="15"/>
    </row>
    <row r="4" spans="2:18" x14ac:dyDescent="0.35">
      <c r="B4" s="114"/>
      <c r="C4" s="116"/>
      <c r="D4" s="117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55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70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65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66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67</v>
      </c>
      <c r="E20" s="85"/>
      <c r="F20" s="83"/>
      <c r="H20" s="47" t="s">
        <v>68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69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44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57</v>
      </c>
      <c r="I24" s="50"/>
      <c r="J24" s="51"/>
      <c r="K24" s="50" t="s">
        <v>58</v>
      </c>
      <c r="L24" s="16">
        <v>20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61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94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95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64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72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60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73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59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62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7056</v>
      </c>
      <c r="D47" s="71" t="s">
        <v>10</v>
      </c>
      <c r="E47" s="71"/>
      <c r="F47" s="72"/>
    </row>
    <row r="48" spans="2:6" x14ac:dyDescent="0.35">
      <c r="B48" s="73" t="str">
        <f t="shared" ref="B48:B52" si="18">DEC2HEX(HEX2DEC(B49)-C48)</f>
        <v>2C90</v>
      </c>
      <c r="C48" s="31">
        <v>768</v>
      </c>
      <c r="D48" s="80" t="s">
        <v>54</v>
      </c>
      <c r="E48" s="80"/>
      <c r="F48" s="81"/>
    </row>
    <row r="49" spans="2:6" x14ac:dyDescent="0.35">
      <c r="B49" s="47" t="str">
        <f t="shared" si="18"/>
        <v>2F90</v>
      </c>
      <c r="C49" s="30">
        <v>96</v>
      </c>
      <c r="D49" t="s">
        <v>56</v>
      </c>
      <c r="F49" s="48"/>
    </row>
    <row r="50" spans="2:6" x14ac:dyDescent="0.35">
      <c r="B50" s="47" t="str">
        <f t="shared" si="18"/>
        <v>2FF0</v>
      </c>
      <c r="C50" s="30">
        <v>96</v>
      </c>
      <c r="D50" t="s">
        <v>71</v>
      </c>
      <c r="F50" s="48"/>
    </row>
    <row r="51" spans="2:6" x14ac:dyDescent="0.35">
      <c r="B51" s="66" t="str">
        <f t="shared" si="18"/>
        <v>3050</v>
      </c>
      <c r="C51" s="33">
        <f>$D$11</f>
        <v>224</v>
      </c>
      <c r="D51" s="68" t="s">
        <v>28</v>
      </c>
      <c r="E51" s="68"/>
      <c r="F51" s="69"/>
    </row>
    <row r="52" spans="2:6" x14ac:dyDescent="0.35">
      <c r="B52" s="47" t="str">
        <f t="shared" si="18"/>
        <v>3130</v>
      </c>
      <c r="C52" s="30">
        <v>16</v>
      </c>
      <c r="D52" t="s">
        <v>29</v>
      </c>
      <c r="F52" s="48"/>
    </row>
    <row r="53" spans="2:6" x14ac:dyDescent="0.35">
      <c r="B53" s="47" t="str">
        <f>DEC2HEX(HEX2DEC(B54)-C53)</f>
        <v>3140</v>
      </c>
      <c r="C53" s="30">
        <v>1728</v>
      </c>
      <c r="D53" s="17" t="s">
        <v>63</v>
      </c>
      <c r="F53" s="48"/>
    </row>
    <row r="54" spans="2:6" x14ac:dyDescent="0.35">
      <c r="B54" s="47" t="str">
        <f t="shared" ref="B54" si="19">DEC2HEX(HEX2DEC(B55)-C54)</f>
        <v>3800</v>
      </c>
      <c r="C54" s="30">
        <f>2048</f>
        <v>2048</v>
      </c>
      <c r="D54" s="17" t="s">
        <v>30</v>
      </c>
      <c r="F54" s="48"/>
    </row>
    <row r="55" spans="2:6" ht="15" thickBot="1" x14ac:dyDescent="0.4">
      <c r="B55" s="91">
        <v>4000</v>
      </c>
      <c r="C55" s="92"/>
      <c r="D55" s="93" t="s">
        <v>19</v>
      </c>
      <c r="E55" s="94"/>
      <c r="F55" s="95"/>
    </row>
    <row r="56" spans="2:6" ht="15" thickBot="1" x14ac:dyDescent="0.4">
      <c r="B56" s="17"/>
      <c r="C56" s="17"/>
      <c r="D56" s="17"/>
    </row>
    <row r="57" spans="2:6" ht="15" thickBot="1" x14ac:dyDescent="0.4">
      <c r="B57" s="100" t="s">
        <v>7</v>
      </c>
      <c r="C57" s="61" t="s">
        <v>20</v>
      </c>
      <c r="D57" s="101" t="s">
        <v>8</v>
      </c>
      <c r="E57" s="53"/>
      <c r="F57" s="54"/>
    </row>
    <row r="58" spans="2:6" x14ac:dyDescent="0.35">
      <c r="B58" s="105">
        <v>4000</v>
      </c>
      <c r="C58" s="96">
        <f>HEX2DEC(B59)-HEX2DEC(B58)</f>
        <v>2</v>
      </c>
      <c r="D58" s="97" t="s">
        <v>74</v>
      </c>
      <c r="F58" s="48"/>
    </row>
    <row r="59" spans="2:6" x14ac:dyDescent="0.35">
      <c r="B59" s="105">
        <v>4002</v>
      </c>
      <c r="C59" s="96">
        <f>HEX2DEC(B60)-HEX2DEC(B59)</f>
        <v>28</v>
      </c>
      <c r="D59" s="97" t="s">
        <v>75</v>
      </c>
      <c r="F59" s="48"/>
    </row>
    <row r="60" spans="2:6" x14ac:dyDescent="0.35">
      <c r="B60" s="105" t="s">
        <v>76</v>
      </c>
      <c r="C60" s="96">
        <f t="shared" ref="C60:C70" si="20">HEX2DEC(B61)-HEX2DEC(B60)</f>
        <v>5</v>
      </c>
      <c r="D60" s="97" t="s">
        <v>77</v>
      </c>
      <c r="F60" s="48"/>
    </row>
    <row r="61" spans="2:6" x14ac:dyDescent="0.35">
      <c r="B61" s="105">
        <v>4023</v>
      </c>
      <c r="C61" s="96">
        <f t="shared" si="20"/>
        <v>192</v>
      </c>
      <c r="D61" s="97" t="s">
        <v>78</v>
      </c>
      <c r="F61" s="48"/>
    </row>
    <row r="62" spans="2:6" x14ac:dyDescent="0.35">
      <c r="B62" s="106" t="s">
        <v>92</v>
      </c>
      <c r="C62" s="96">
        <f t="shared" si="20"/>
        <v>48</v>
      </c>
      <c r="D62" s="97" t="s">
        <v>79</v>
      </c>
      <c r="F62" s="48"/>
    </row>
    <row r="63" spans="2:6" x14ac:dyDescent="0.35">
      <c r="B63" s="105">
        <v>4113</v>
      </c>
      <c r="C63" s="96">
        <f t="shared" si="20"/>
        <v>3712</v>
      </c>
      <c r="D63" s="97" t="s">
        <v>80</v>
      </c>
      <c r="F63" s="48"/>
    </row>
    <row r="64" spans="2:6" x14ac:dyDescent="0.35">
      <c r="B64" s="105" t="s">
        <v>93</v>
      </c>
      <c r="C64" s="120">
        <f t="shared" si="20"/>
        <v>1673</v>
      </c>
      <c r="D64" s="97" t="s">
        <v>81</v>
      </c>
      <c r="F64" s="48"/>
    </row>
    <row r="65" spans="2:6" x14ac:dyDescent="0.35">
      <c r="B65" s="119" t="s">
        <v>96</v>
      </c>
      <c r="C65" s="96">
        <f t="shared" si="20"/>
        <v>76</v>
      </c>
      <c r="D65" s="97" t="s">
        <v>82</v>
      </c>
      <c r="F65" s="48"/>
    </row>
    <row r="66" spans="2:6" x14ac:dyDescent="0.35">
      <c r="B66" s="121">
        <v>5668</v>
      </c>
      <c r="C66" s="120">
        <f t="shared" si="20"/>
        <v>2637</v>
      </c>
      <c r="D66" s="102" t="s">
        <v>89</v>
      </c>
      <c r="F66" s="48"/>
    </row>
    <row r="67" spans="2:6" x14ac:dyDescent="0.35">
      <c r="B67" s="119" t="s">
        <v>97</v>
      </c>
      <c r="C67" s="120">
        <f t="shared" si="20"/>
        <v>3205</v>
      </c>
      <c r="D67" s="97" t="s">
        <v>83</v>
      </c>
      <c r="F67" s="48"/>
    </row>
    <row r="68" spans="2:6" x14ac:dyDescent="0.35">
      <c r="B68" s="122" t="s">
        <v>98</v>
      </c>
      <c r="C68" s="103">
        <f t="shared" si="20"/>
        <v>300</v>
      </c>
      <c r="D68" s="104" t="s">
        <v>90</v>
      </c>
      <c r="E68" s="88"/>
      <c r="F68" s="79"/>
    </row>
    <row r="69" spans="2:6" x14ac:dyDescent="0.35">
      <c r="B69" s="108" t="s">
        <v>91</v>
      </c>
      <c r="C69" s="96">
        <f t="shared" si="20"/>
        <v>3226</v>
      </c>
      <c r="D69" s="97" t="s">
        <v>88</v>
      </c>
      <c r="F69" s="48"/>
    </row>
    <row r="70" spans="2:6" x14ac:dyDescent="0.35">
      <c r="B70" s="105" t="s">
        <v>84</v>
      </c>
      <c r="C70" s="96">
        <f t="shared" si="20"/>
        <v>256</v>
      </c>
      <c r="D70" s="97" t="s">
        <v>85</v>
      </c>
      <c r="F70" s="48"/>
    </row>
    <row r="71" spans="2:6" ht="15" thickBot="1" x14ac:dyDescent="0.4">
      <c r="B71" s="107" t="s">
        <v>86</v>
      </c>
      <c r="C71" s="98">
        <v>1024</v>
      </c>
      <c r="D71" s="99" t="s">
        <v>87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2025-07-22T01:47:50Z</dcterms:modified>
</cp:coreProperties>
</file>