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22B15ADB-FA11-402E-B161-F2813FFFFEEC}" xr6:coauthVersionLast="47" xr6:coauthVersionMax="47" xr10:uidLastSave="{00000000-0000-0000-0000-000000000000}"/>
  <bookViews>
    <workbookView xWindow="1911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F13" i="1"/>
  <c r="H13" i="1"/>
  <c r="J13" i="1"/>
  <c r="L13" i="1"/>
  <c r="N13" i="1"/>
  <c r="P13" i="1"/>
  <c r="C20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2" i="1"/>
  <c r="N12" i="1"/>
  <c r="L12" i="1"/>
  <c r="J12" i="1"/>
  <c r="H12" i="1"/>
  <c r="F12" i="1"/>
  <c r="C50" i="1"/>
  <c r="N11" i="1"/>
  <c r="C53" i="1"/>
  <c r="B53" i="1" s="1"/>
  <c r="D10" i="1"/>
  <c r="P10" i="1" s="1"/>
  <c r="D8" i="1"/>
  <c r="F8" i="1" s="1"/>
  <c r="D9" i="1"/>
  <c r="P9" i="1" s="1"/>
  <c r="C33" i="1" l="1"/>
  <c r="F7" i="1"/>
  <c r="H7" i="1"/>
  <c r="J7" i="1"/>
  <c r="L7" i="1"/>
  <c r="N7" i="1"/>
  <c r="B21" i="1"/>
  <c r="C24" i="1"/>
  <c r="F11" i="1"/>
  <c r="F9" i="1"/>
  <c r="J11" i="1"/>
  <c r="H11" i="1"/>
  <c r="P11" i="1"/>
  <c r="L11" i="1"/>
  <c r="B52" i="1"/>
  <c r="H9" i="1"/>
  <c r="F10" i="1"/>
  <c r="N10" i="1"/>
  <c r="N8" i="1"/>
  <c r="N9" i="1"/>
  <c r="L8" i="1"/>
  <c r="L9" i="1"/>
  <c r="L10" i="1"/>
  <c r="H10" i="1"/>
  <c r="H8" i="1"/>
  <c r="J9" i="1"/>
  <c r="J10" i="1"/>
  <c r="J8" i="1"/>
  <c r="P8" i="1"/>
  <c r="B50" i="1" l="1"/>
  <c r="B49" i="1" s="1"/>
  <c r="B48" i="1" s="1"/>
  <c r="H14" i="1"/>
  <c r="H16" i="1" s="1"/>
  <c r="P14" i="1"/>
  <c r="P2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N14" i="1"/>
  <c r="N16" i="1" s="1"/>
  <c r="L14" i="1"/>
  <c r="L16" i="1" s="1"/>
  <c r="J14" i="1"/>
  <c r="J16" i="1" s="1"/>
  <c r="F14" i="1"/>
  <c r="F16" i="1" s="1"/>
  <c r="B36" i="1" l="1"/>
  <c r="B37" i="1" s="1"/>
  <c r="B38" i="1" s="1"/>
  <c r="B39" i="1" l="1"/>
  <c r="B40" i="1" s="1"/>
  <c r="B41" i="1" s="1"/>
  <c r="B42" i="1" l="1"/>
  <c r="B43" i="1" s="1"/>
  <c r="B44" i="1" l="1"/>
  <c r="B45" i="1" s="1"/>
  <c r="B46" i="1" s="1"/>
  <c r="B47" i="1" s="1"/>
  <c r="C47" i="1" s="1"/>
</calcChain>
</file>

<file path=xl/sharedStrings.xml><?xml version="1.0" encoding="utf-8"?>
<sst xmlns="http://schemas.openxmlformats.org/spreadsheetml/2006/main" count="98" uniqueCount="74">
  <si>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</si>
  <si>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</si>
  <si>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</si>
  <si>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</si>
  <si>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</si>
  <si>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</si>
  <si>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</si>
  <si>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</si>
  <si>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</si>
  <si>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</si>
  <si>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</si>
  <si>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</si>
  <si>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</si>
  <si>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</si>
  <si>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</si>
  <si>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</si>
  <si>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</si>
  <si>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tile address table</t>
  </si>
  <si>
    <t>sprite address table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</si>
  <si>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</si>
  <si>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</si>
  <si>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</si>
  <si>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</si>
  <si>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</si>
  <si>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</si>
  <si>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</si>
  <si>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</si>
  <si>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</si>
  <si>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</si>
  <si>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</si>
  <si>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</si>
  <si>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</si>
  <si>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</si>
  <si>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</si>
  <si>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</si>
  <si>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</si>
  <si>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</si>
  <si>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</si>
  <si>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</si>
  <si>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</si>
  <si>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</si>
  <si>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</si>
  <si>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</si>
  <si>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</si>
  <si>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</si>
  <si>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</si>
  <si>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</si>
  <si>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</si>
  <si>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</si>
  <si>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</si>
  <si>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</si>
  <si>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</si>
  <si>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</si>
  <si>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</si>
  <si>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</si>
  <si>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</si>
  <si>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</si>
  <si>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Sprite address table (printer buffer)</t>
  </si>
  <si>
    <t>Tile address table (NMI memory)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</si>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</sst>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0" fillId="0" borderId="0" xfId="0" quotePrefix="1"/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8" xfId="0" applyFill="1" applyBorder="1"/>
    <xf numFmtId="0" fontId="0" fillId="2" borderId="0" xfId="0" quotePrefix="1" applyFill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topLeftCell="A12" workbookViewId="0">
      <selection activeCell="A50" sqref="A50"/>
    </sheetView>
  </sheetViews>
  <sheetFormatPr defaultRowHeight="14.5" x14ac:dyDescent="0.35"/>
  <cols>
    <col min="1" max="1" width="2.81640625" customWidth="1"/>
    <col min="2" max="2" width="18.1796875" customWidth="1"/>
    <col min="3" max="5" width="9.7265625" customWidth="1"/>
    <col min="6" max="6" width="10.81640625" customWidth="1"/>
    <col min="7" max="16" width="9.7265625" customWidth="1"/>
  </cols>
  <sheetData>
    <row r="1" spans="2:18" ht="15" thickBot="1" x14ac:dyDescent="0.4"/>
    <row r="2" spans="2:18" x14ac:dyDescent="0.35">
      <c r="B2" s="88" t="s">
        <v>4</v>
      </c>
      <c r="C2" s="90" t="s">
        <v>0</v>
      </c>
      <c r="D2" s="85" t="s">
        <v>2</v>
      </c>
      <c r="E2" s="84" t="s">
        <v>24</v>
      </c>
      <c r="F2" s="87"/>
      <c r="G2" s="84" t="s">
        <v>13</v>
      </c>
      <c r="H2" s="85"/>
      <c r="I2" s="86" t="s">
        <v>12</v>
      </c>
      <c r="J2" s="87"/>
      <c r="K2" s="84" t="s">
        <v>14</v>
      </c>
      <c r="L2" s="85"/>
      <c r="M2" s="86" t="s">
        <v>15</v>
      </c>
      <c r="N2" s="87"/>
      <c r="O2" s="43" t="s">
        <v>6</v>
      </c>
      <c r="P2" s="14" t="str">
        <f>DEC2HEX(HEX2DEC(3030)-P14)</f>
        <v>2B90</v>
      </c>
      <c r="R2" s="15"/>
    </row>
    <row r="3" spans="2:18" x14ac:dyDescent="0.35">
      <c r="B3" s="89"/>
      <c r="C3" s="91"/>
      <c r="D3" s="92"/>
      <c r="E3" s="91" t="s">
        <v>25</v>
      </c>
      <c r="F3" s="93"/>
      <c r="G3" s="91" t="s">
        <v>25</v>
      </c>
      <c r="H3" s="92"/>
      <c r="I3" s="41"/>
      <c r="J3" s="40"/>
      <c r="K3" s="91" t="s">
        <v>25</v>
      </c>
      <c r="L3" s="92"/>
      <c r="M3" s="93" t="s">
        <v>25</v>
      </c>
      <c r="N3" s="93"/>
      <c r="O3" s="42"/>
      <c r="P3" s="24"/>
      <c r="R3" s="15"/>
    </row>
    <row r="4" spans="2:18" x14ac:dyDescent="0.35">
      <c r="B4" s="89"/>
      <c r="C4" s="91"/>
      <c r="D4" s="92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35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53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37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36</v>
      </c>
      <c r="C8" s="19">
        <v>4</v>
      </c>
      <c r="D8" s="5">
        <f>32*4/4</f>
        <v>32</v>
      </c>
      <c r="E8" s="30">
        <v>0</v>
      </c>
      <c r="F8" s="30">
        <f t="shared" ref="F8:F11" si="6">E8*$D8</f>
        <v>0</v>
      </c>
      <c r="G8" s="4">
        <v>1</v>
      </c>
      <c r="H8" s="5">
        <f t="shared" ref="H8:H11" si="7">G8*$D8</f>
        <v>32</v>
      </c>
      <c r="I8" s="30">
        <v>0</v>
      </c>
      <c r="J8" s="30">
        <f t="shared" ref="J8:J11" si="8">I8*$D8</f>
        <v>0</v>
      </c>
      <c r="K8" s="4">
        <v>2</v>
      </c>
      <c r="L8" s="5">
        <f t="shared" ref="L8:L11" si="9">K8*$D8</f>
        <v>64</v>
      </c>
      <c r="M8" s="30">
        <v>1</v>
      </c>
      <c r="N8" s="30">
        <f t="shared" ref="N8:N11" si="10">M8*$D8</f>
        <v>32</v>
      </c>
      <c r="O8" s="4">
        <v>0</v>
      </c>
      <c r="P8" s="6">
        <f t="shared" ref="P8:P11" si="11">O8*$D8</f>
        <v>0</v>
      </c>
    </row>
    <row r="9" spans="2:18" x14ac:dyDescent="0.35">
      <c r="B9" s="1" t="s">
        <v>38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si="7"/>
        <v>0</v>
      </c>
      <c r="I9" s="30">
        <v>1</v>
      </c>
      <c r="J9" s="30">
        <f t="shared" si="8"/>
        <v>96</v>
      </c>
      <c r="K9" s="4">
        <v>0</v>
      </c>
      <c r="L9" s="5">
        <f t="shared" si="9"/>
        <v>0</v>
      </c>
      <c r="M9" s="30">
        <v>1</v>
      </c>
      <c r="N9" s="30">
        <f t="shared" si="10"/>
        <v>96</v>
      </c>
      <c r="O9" s="4">
        <v>9</v>
      </c>
      <c r="P9" s="6">
        <f t="shared" si="11"/>
        <v>864</v>
      </c>
    </row>
    <row r="10" spans="2:18" x14ac:dyDescent="0.35">
      <c r="B10" s="1" t="s">
        <v>63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39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7"/>
        <v>0</v>
      </c>
      <c r="I11" s="30">
        <v>0</v>
      </c>
      <c r="J11" s="30">
        <f t="shared" si="8"/>
        <v>0</v>
      </c>
      <c r="K11" s="4">
        <v>0</v>
      </c>
      <c r="L11" s="5">
        <f t="shared" si="9"/>
        <v>0</v>
      </c>
      <c r="M11" s="30">
        <v>0</v>
      </c>
      <c r="N11" s="30">
        <f t="shared" si="10"/>
        <v>0</v>
      </c>
      <c r="O11" s="4">
        <v>1</v>
      </c>
      <c r="P11" s="6">
        <f t="shared" si="11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73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5" thickBot="1" x14ac:dyDescent="0.4">
      <c r="P18" s="3"/>
    </row>
    <row r="19" spans="2:16" ht="15" thickBot="1" x14ac:dyDescent="0.4">
      <c r="B19" s="64" t="s">
        <v>7</v>
      </c>
      <c r="C19" s="57" t="s">
        <v>22</v>
      </c>
      <c r="D19" s="65" t="s">
        <v>8</v>
      </c>
      <c r="E19" s="56"/>
      <c r="F19" s="58"/>
      <c r="H19" s="59" t="s">
        <v>52</v>
      </c>
      <c r="I19" s="53"/>
      <c r="J19" s="60" t="s">
        <v>7</v>
      </c>
      <c r="K19" s="61" t="s">
        <v>2</v>
      </c>
      <c r="L19" s="60" t="s">
        <v>41</v>
      </c>
      <c r="M19" s="53"/>
      <c r="N19" s="54"/>
    </row>
    <row r="20" spans="2:16" x14ac:dyDescent="0.35">
      <c r="B20" s="62">
        <v>100</v>
      </c>
      <c r="C20" s="66">
        <f>(24*32/4)</f>
        <v>192</v>
      </c>
      <c r="D20" s="56" t="s">
        <v>26</v>
      </c>
      <c r="E20" s="56"/>
      <c r="F20" s="58"/>
      <c r="H20" s="47" t="s">
        <v>40</v>
      </c>
      <c r="I20" s="17"/>
      <c r="J20" t="s">
        <v>42</v>
      </c>
      <c r="K20" s="30">
        <v>30</v>
      </c>
      <c r="L20" t="s">
        <v>44</v>
      </c>
      <c r="N20" s="48"/>
    </row>
    <row r="21" spans="2:16" x14ac:dyDescent="0.35">
      <c r="B21" s="67" t="str">
        <f t="shared" ref="B21:B47" si="17">DEC2HEX(HEX2DEC(B20)+C20)</f>
        <v>1C0</v>
      </c>
      <c r="C21" s="33">
        <v>64</v>
      </c>
      <c r="D21" s="68" t="s">
        <v>33</v>
      </c>
      <c r="E21" s="69"/>
      <c r="F21" s="70"/>
      <c r="H21" s="47" t="s">
        <v>17</v>
      </c>
      <c r="I21" s="17"/>
      <c r="J21" t="s">
        <v>43</v>
      </c>
      <c r="K21" s="30">
        <v>64</v>
      </c>
      <c r="L21" t="s">
        <v>44</v>
      </c>
      <c r="N21" s="48"/>
    </row>
    <row r="22" spans="2:16" x14ac:dyDescent="0.35">
      <c r="B22" s="75" t="str">
        <f t="shared" si="17"/>
        <v>200</v>
      </c>
      <c r="C22" s="76">
        <v>256</v>
      </c>
      <c r="D22" s="77" t="s">
        <v>9</v>
      </c>
      <c r="E22" s="77"/>
      <c r="F22" s="78"/>
      <c r="H22" s="47" t="s">
        <v>18</v>
      </c>
      <c r="I22" s="17"/>
      <c r="J22" t="s">
        <v>46</v>
      </c>
      <c r="K22" s="30">
        <v>64</v>
      </c>
      <c r="L22" t="s">
        <v>45</v>
      </c>
      <c r="N22" s="48"/>
    </row>
    <row r="23" spans="2:16" x14ac:dyDescent="0.35">
      <c r="B23" s="47" t="str">
        <f t="shared" si="17"/>
        <v>300</v>
      </c>
      <c r="C23" s="30">
        <v>192</v>
      </c>
      <c r="D23" t="s">
        <v>26</v>
      </c>
      <c r="F23" s="48"/>
      <c r="H23" s="47" t="s">
        <v>34</v>
      </c>
      <c r="I23" s="17"/>
      <c r="J23" t="s">
        <v>48</v>
      </c>
      <c r="K23" s="30">
        <v>44</v>
      </c>
      <c r="L23" t="s">
        <v>50</v>
      </c>
      <c r="N23" s="48"/>
    </row>
    <row r="24" spans="2:16" x14ac:dyDescent="0.35">
      <c r="B24" s="47" t="str">
        <f t="shared" si="17"/>
        <v>3C0</v>
      </c>
      <c r="C24" s="30">
        <f>$D$8</f>
        <v>32</v>
      </c>
      <c r="D24" s="63" t="s">
        <v>27</v>
      </c>
      <c r="F24" s="48"/>
      <c r="H24" s="47" t="s">
        <v>47</v>
      </c>
      <c r="I24" s="17"/>
      <c r="J24" t="s">
        <v>49</v>
      </c>
      <c r="K24" s="30">
        <v>12</v>
      </c>
      <c r="L24" t="s">
        <v>51</v>
      </c>
      <c r="N24" s="48"/>
    </row>
    <row r="25" spans="2:16" ht="15" thickBot="1" x14ac:dyDescent="0.4">
      <c r="B25" s="67" t="str">
        <f t="shared" si="17"/>
        <v>3E0</v>
      </c>
      <c r="C25" s="33">
        <v>32</v>
      </c>
      <c r="D25" s="69" t="s">
        <v>69</v>
      </c>
      <c r="E25" s="69"/>
      <c r="F25" s="70"/>
      <c r="H25" s="49" t="s">
        <v>65</v>
      </c>
      <c r="I25" s="50"/>
      <c r="J25" s="50" t="s">
        <v>66</v>
      </c>
      <c r="K25" s="16">
        <v>20</v>
      </c>
      <c r="L25" s="51" t="s">
        <v>51</v>
      </c>
      <c r="M25" s="51"/>
      <c r="N25" s="52"/>
    </row>
    <row r="26" spans="2:16" x14ac:dyDescent="0.35">
      <c r="B26" s="47" t="str">
        <f t="shared" si="17"/>
        <v>400</v>
      </c>
      <c r="C26" s="30">
        <v>480</v>
      </c>
      <c r="D26" t="s">
        <v>54</v>
      </c>
      <c r="F26" s="48"/>
      <c r="H26" s="17"/>
      <c r="I26" s="17"/>
      <c r="K26" s="30"/>
    </row>
    <row r="27" spans="2:16" x14ac:dyDescent="0.35">
      <c r="B27" s="47" t="str">
        <f t="shared" si="17"/>
        <v>5E0</v>
      </c>
      <c r="C27" s="30">
        <v>48</v>
      </c>
      <c r="D27" t="s">
        <v>55</v>
      </c>
      <c r="F27" s="48"/>
    </row>
    <row r="28" spans="2:16" x14ac:dyDescent="0.35">
      <c r="B28" s="47" t="str">
        <f t="shared" si="17"/>
        <v>610</v>
      </c>
      <c r="C28" s="30">
        <v>384</v>
      </c>
      <c r="D28" t="s">
        <v>20</v>
      </c>
      <c r="F28" s="48"/>
      <c r="I28" s="55"/>
    </row>
    <row r="29" spans="2:16" x14ac:dyDescent="0.35">
      <c r="B29" s="47" t="str">
        <f t="shared" si="17"/>
        <v>790</v>
      </c>
      <c r="C29" s="30">
        <v>96</v>
      </c>
      <c r="D29" t="s">
        <v>56</v>
      </c>
      <c r="F29" s="48"/>
    </row>
    <row r="30" spans="2:16" x14ac:dyDescent="0.35">
      <c r="B30" s="67" t="str">
        <f t="shared" si="17"/>
        <v>7F0</v>
      </c>
      <c r="C30" s="33">
        <v>16</v>
      </c>
      <c r="D30" s="68" t="s">
        <v>72</v>
      </c>
      <c r="E30" s="69"/>
      <c r="F30" s="70"/>
    </row>
    <row r="31" spans="2:16" x14ac:dyDescent="0.35">
      <c r="B31" s="79" t="str">
        <f t="shared" si="17"/>
        <v>800</v>
      </c>
      <c r="C31" s="80">
        <v>128</v>
      </c>
      <c r="D31" s="81" t="s">
        <v>29</v>
      </c>
      <c r="E31" s="81"/>
      <c r="F31" s="82"/>
    </row>
    <row r="32" spans="2:16" x14ac:dyDescent="0.35">
      <c r="B32" s="47" t="str">
        <f t="shared" si="17"/>
        <v>880</v>
      </c>
      <c r="C32" s="30">
        <v>64</v>
      </c>
      <c r="D32" s="63" t="s">
        <v>57</v>
      </c>
      <c r="F32" s="48"/>
    </row>
    <row r="33" spans="2:8" x14ac:dyDescent="0.35">
      <c r="B33" s="75" t="str">
        <f t="shared" si="17"/>
        <v>8C0</v>
      </c>
      <c r="C33" s="76">
        <f>2*$D$8</f>
        <v>64</v>
      </c>
      <c r="D33" s="77" t="s">
        <v>29</v>
      </c>
      <c r="E33" s="77"/>
      <c r="F33" s="78"/>
      <c r="H33" s="55"/>
    </row>
    <row r="34" spans="2:8" x14ac:dyDescent="0.35">
      <c r="B34" s="47" t="str">
        <f t="shared" si="17"/>
        <v>900</v>
      </c>
      <c r="C34" s="30">
        <v>960</v>
      </c>
      <c r="D34" t="s">
        <v>19</v>
      </c>
      <c r="F34" s="48"/>
    </row>
    <row r="35" spans="2:8" x14ac:dyDescent="0.35">
      <c r="B35" s="67" t="str">
        <f t="shared" si="17"/>
        <v>CC0</v>
      </c>
      <c r="C35" s="33">
        <v>64</v>
      </c>
      <c r="D35" s="69" t="s">
        <v>28</v>
      </c>
      <c r="E35" s="69"/>
      <c r="F35" s="70"/>
      <c r="H35" s="55"/>
    </row>
    <row r="36" spans="2:8" x14ac:dyDescent="0.35">
      <c r="B36" s="47" t="str">
        <f t="shared" si="17"/>
        <v>D00</v>
      </c>
      <c r="C36" s="30">
        <v>32</v>
      </c>
      <c r="D36" s="63" t="s">
        <v>68</v>
      </c>
      <c r="F36" s="48"/>
    </row>
    <row r="37" spans="2:8" x14ac:dyDescent="0.35">
      <c r="B37" s="47" t="str">
        <f t="shared" si="17"/>
        <v>D20</v>
      </c>
      <c r="C37" s="30">
        <v>64</v>
      </c>
      <c r="D37" t="s">
        <v>58</v>
      </c>
      <c r="F37" s="48"/>
    </row>
    <row r="38" spans="2:8" x14ac:dyDescent="0.35">
      <c r="B38" s="75" t="str">
        <f t="shared" si="17"/>
        <v>D60</v>
      </c>
      <c r="C38" s="76">
        <v>160</v>
      </c>
      <c r="D38" s="77" t="s">
        <v>59</v>
      </c>
      <c r="E38" s="77"/>
      <c r="F38" s="78"/>
      <c r="H38" s="3"/>
    </row>
    <row r="39" spans="2:8" x14ac:dyDescent="0.35">
      <c r="B39" s="47" t="str">
        <f t="shared" si="17"/>
        <v>E00</v>
      </c>
      <c r="C39" s="30">
        <v>384</v>
      </c>
      <c r="D39" s="63" t="s">
        <v>20</v>
      </c>
      <c r="F39" s="48"/>
      <c r="H39" s="3"/>
    </row>
    <row r="40" spans="2:8" x14ac:dyDescent="0.35">
      <c r="B40" s="47" t="str">
        <f t="shared" si="17"/>
        <v>F80</v>
      </c>
      <c r="C40" s="30">
        <v>32</v>
      </c>
      <c r="D40" s="63" t="s">
        <v>27</v>
      </c>
      <c r="F40" s="48"/>
    </row>
    <row r="41" spans="2:8" x14ac:dyDescent="0.35">
      <c r="B41" s="67" t="str">
        <f t="shared" si="17"/>
        <v>FA0</v>
      </c>
      <c r="C41" s="33">
        <v>96</v>
      </c>
      <c r="D41" s="68" t="s">
        <v>60</v>
      </c>
      <c r="E41" s="69"/>
      <c r="F41" s="70"/>
    </row>
    <row r="42" spans="2:8" x14ac:dyDescent="0.35">
      <c r="B42" s="79" t="str">
        <f t="shared" si="17"/>
        <v>1000</v>
      </c>
      <c r="C42" s="80">
        <v>144</v>
      </c>
      <c r="D42" s="83" t="s">
        <v>23</v>
      </c>
      <c r="E42" s="81"/>
      <c r="F42" s="82"/>
    </row>
    <row r="43" spans="2:8" x14ac:dyDescent="0.35">
      <c r="B43" s="47" t="str">
        <f t="shared" si="17"/>
        <v>1090</v>
      </c>
      <c r="C43" s="30">
        <v>48</v>
      </c>
      <c r="D43" s="63" t="s">
        <v>61</v>
      </c>
      <c r="F43" s="48"/>
    </row>
    <row r="44" spans="2:8" x14ac:dyDescent="0.35">
      <c r="B44" s="47" t="str">
        <f t="shared" si="17"/>
        <v>10C0</v>
      </c>
      <c r="C44" s="30">
        <v>32</v>
      </c>
      <c r="D44" s="63" t="s">
        <v>23</v>
      </c>
      <c r="F44" s="48"/>
    </row>
    <row r="45" spans="2:8" x14ac:dyDescent="0.35">
      <c r="B45" s="47" t="str">
        <f t="shared" si="17"/>
        <v>10E0</v>
      </c>
      <c r="C45" s="30">
        <v>12</v>
      </c>
      <c r="D45" s="63" t="s">
        <v>67</v>
      </c>
      <c r="F45" s="48"/>
    </row>
    <row r="46" spans="2:8" x14ac:dyDescent="0.35">
      <c r="B46" s="67" t="str">
        <f t="shared" si="17"/>
        <v>10EC</v>
      </c>
      <c r="C46" s="33">
        <v>20</v>
      </c>
      <c r="D46" s="68" t="s">
        <v>70</v>
      </c>
      <c r="E46" s="69"/>
      <c r="F46" s="70"/>
    </row>
    <row r="47" spans="2:8" x14ac:dyDescent="0.35">
      <c r="B47" s="47" t="str">
        <f t="shared" si="17"/>
        <v>1100</v>
      </c>
      <c r="C47" s="71">
        <f>HEX2DEC(B49)-HEX2DEC(B47)</f>
        <v>7792</v>
      </c>
      <c r="D47" s="72" t="s">
        <v>10</v>
      </c>
      <c r="E47" s="72"/>
      <c r="F47" s="73"/>
    </row>
    <row r="48" spans="2:8" x14ac:dyDescent="0.35">
      <c r="B48" s="74" t="str">
        <f t="shared" ref="B48" si="18">DEC2HEX(HEX2DEC(B49)-C48)</f>
        <v>2C10</v>
      </c>
      <c r="C48" s="30">
        <v>864</v>
      </c>
      <c r="D48" t="s">
        <v>62</v>
      </c>
      <c r="F48" s="48"/>
    </row>
    <row r="49" spans="2:6" x14ac:dyDescent="0.35">
      <c r="B49" s="47" t="str">
        <f t="shared" ref="B49:B52" si="19">DEC2HEX(HEX2DEC(B50)-C49)</f>
        <v>2F70</v>
      </c>
      <c r="C49" s="30">
        <v>96</v>
      </c>
      <c r="D49" t="s">
        <v>64</v>
      </c>
      <c r="F49" s="48"/>
    </row>
    <row r="50" spans="2:6" x14ac:dyDescent="0.35">
      <c r="B50" s="67" t="str">
        <f t="shared" si="19"/>
        <v>2FD0</v>
      </c>
      <c r="C50" s="33">
        <f>$D$11</f>
        <v>224</v>
      </c>
      <c r="D50" s="69" t="s">
        <v>30</v>
      </c>
      <c r="E50" s="69"/>
      <c r="F50" s="70"/>
    </row>
    <row r="51" spans="2:6" x14ac:dyDescent="0.35">
      <c r="B51" s="47" t="str">
        <f>DEC2HEX(HEX2DEC(B52)-C51)</f>
        <v>30B0</v>
      </c>
      <c r="C51" s="94">
        <v>16</v>
      </c>
      <c r="D51" s="96" t="s">
        <v>31</v>
      </c>
      <c r="E51" s="95"/>
      <c r="F51" s="48"/>
    </row>
    <row r="52" spans="2:6" x14ac:dyDescent="0.35">
      <c r="B52" s="47" t="str">
        <f t="shared" si="19"/>
        <v>30C0</v>
      </c>
      <c r="C52" s="30">
        <v>1856</v>
      </c>
      <c r="D52" s="17" t="s">
        <v>71</v>
      </c>
      <c r="F52" s="48"/>
    </row>
    <row r="53" spans="2:6" x14ac:dyDescent="0.35">
      <c r="B53" s="47" t="str">
        <f t="shared" ref="B53" si="20">DEC2HEX(HEX2DEC(B54)-C53)</f>
        <v>3800</v>
      </c>
      <c r="C53" s="30">
        <f>2048</f>
        <v>2048</v>
      </c>
      <c r="D53" s="17" t="s">
        <v>32</v>
      </c>
      <c r="F53" s="48"/>
    </row>
    <row r="54" spans="2:6" ht="15" thickBot="1" x14ac:dyDescent="0.4">
      <c r="B54" s="49">
        <v>4000</v>
      </c>
      <c r="C54" s="16"/>
      <c r="D54" s="50" t="s">
        <v>21</v>
      </c>
      <c r="E54" s="51"/>
      <c r="F54" s="52"/>
    </row>
    <row r="55" spans="2:6" x14ac:dyDescent="0.35">
      <c r="B55" s="17"/>
      <c r="C55" s="17"/>
      <c r="D55" s="17"/>
    </row>
    <row r="56" spans="2:6" x14ac:dyDescent="0.35">
      <c r="B56" s="17"/>
      <c r="C56" s="17"/>
      <c r="D56" s="17"/>
    </row>
    <row r="57" spans="2:6" x14ac:dyDescent="0.35">
      <c r="B57" s="17"/>
      <c r="C57" s="17"/>
      <c r="D57" s="17"/>
    </row>
    <row r="58" spans="2:6" x14ac:dyDescent="0.35">
      <c r="B58" s="17"/>
      <c r="C58" s="17"/>
      <c r="D58" s="17"/>
    </row>
    <row r="59" spans="2:6" x14ac:dyDescent="0.35">
      <c r="B59" s="17"/>
      <c r="C59" s="17"/>
      <c r="D59" s="17"/>
    </row>
    <row r="60" spans="2:6" x14ac:dyDescent="0.35">
      <c r="B60" s="46"/>
      <c r="C60" s="17"/>
      <c r="D60" s="17"/>
    </row>
    <row r="61" spans="2:6" x14ac:dyDescent="0.35">
      <c r="B61" s="46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  <c r="C74" s="17"/>
      <c r="D74" s="17"/>
    </row>
    <row r="75" spans="2:4" x14ac:dyDescent="0.35">
      <c r="B75" s="46"/>
    </row>
    <row r="76" spans="2:4" x14ac:dyDescent="0.35">
      <c r="B76" s="46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2025-05-15T08:08:46Z</dcterms:modified>
</cp:coreProperties>
</file>