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2EBB7D95-82E9-4D28-9148-1586D3FD06DC}" xr6:coauthVersionLast="47" xr6:coauthVersionMax="47" xr10:uidLastSave="{00000000-0000-0000-0000-000000000000}"/>
  <bookViews>
    <workbookView xWindow="380" yWindow="380" windowWidth="12330" windowHeight="1414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1" l="1"/>
  <c r="F16" i="1"/>
  <c r="C52" i="1"/>
  <c r="B23" i="1"/>
  <c r="B24" i="1" s="1"/>
  <c r="C22" i="1"/>
  <c r="C63" i="1"/>
  <c r="B63" i="1" s="1"/>
  <c r="B62" i="1" s="1"/>
  <c r="C83" i="1"/>
  <c r="B83" i="1" s="1"/>
  <c r="B82" i="1" s="1"/>
  <c r="C95" i="1"/>
  <c r="C106" i="1"/>
  <c r="C105" i="1"/>
  <c r="C104" i="1"/>
  <c r="C103" i="1"/>
  <c r="C102" i="1"/>
  <c r="C94" i="1"/>
  <c r="C101" i="1"/>
  <c r="C96" i="1"/>
  <c r="C93" i="1"/>
  <c r="C92" i="1"/>
  <c r="C91" i="1"/>
  <c r="C90" i="1"/>
  <c r="C89" i="1"/>
  <c r="C88" i="1"/>
  <c r="C87" i="1"/>
  <c r="C86" i="1"/>
  <c r="C85" i="1"/>
  <c r="C84" i="1"/>
  <c r="C72" i="1"/>
  <c r="C73" i="1"/>
  <c r="C74" i="1"/>
  <c r="C75" i="1"/>
  <c r="C76" i="1"/>
  <c r="C77" i="1"/>
  <c r="C69" i="1"/>
  <c r="C70" i="1"/>
  <c r="C71" i="1"/>
  <c r="C66" i="1"/>
  <c r="C67" i="1"/>
  <c r="C68" i="1"/>
  <c r="C65" i="1"/>
  <c r="C64" i="1"/>
  <c r="D10" i="1"/>
  <c r="P10" i="1" s="1"/>
  <c r="F13" i="1"/>
  <c r="H13" i="1"/>
  <c r="J13" i="1"/>
  <c r="L13" i="1"/>
  <c r="N13" i="1"/>
  <c r="P13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N11" i="1"/>
  <c r="C56" i="1"/>
  <c r="B56" i="1" s="1"/>
  <c r="B55" i="1" s="1"/>
  <c r="D9" i="1"/>
  <c r="P9" i="1" s="1"/>
  <c r="D7" i="1"/>
  <c r="F7" i="1" s="1"/>
  <c r="D8" i="1"/>
  <c r="P8" i="1" s="1"/>
  <c r="B54" i="1" l="1"/>
  <c r="B53" i="1" s="1"/>
  <c r="B52" i="1" s="1"/>
  <c r="B51" i="1" s="1"/>
  <c r="F10" i="1"/>
  <c r="H10" i="1"/>
  <c r="N10" i="1"/>
  <c r="J10" i="1"/>
  <c r="L10" i="1"/>
  <c r="H7" i="1"/>
  <c r="L7" i="1"/>
  <c r="N7" i="1"/>
  <c r="C35" i="1"/>
  <c r="F6" i="1"/>
  <c r="H6" i="1"/>
  <c r="J6" i="1"/>
  <c r="L6" i="1"/>
  <c r="N6" i="1"/>
  <c r="B25" i="1"/>
  <c r="B26" i="1" s="1"/>
  <c r="B27" i="1" s="1"/>
  <c r="B28" i="1" s="1"/>
  <c r="B29" i="1" s="1"/>
  <c r="B30" i="1" s="1"/>
  <c r="C27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31" i="1" l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B47" i="1" l="1"/>
  <c r="B48" i="1"/>
  <c r="C50" i="1"/>
</calcChain>
</file>

<file path=xl/sharedStrings.xml><?xml version="1.0" encoding="utf-8"?>
<sst xmlns="http://schemas.openxmlformats.org/spreadsheetml/2006/main" count="185" uniqueCount="115">
  <si>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</si>
  <si>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</si>
  <si>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</si>
  <si>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</si>
  <si>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</si>
  <si>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</si>
  <si>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</si>
  <si>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</si>
  <si>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</si>
  <si>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</si>
  <si>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</si>
  <si>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</si>
  <si>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</si>
  <si>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</si>
  <si>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</si>
  <si>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</si>
  <si>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</si>
  <si>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</si>
  <si>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</si>
  <si>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</si>
  <si>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</si>
  <si>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</si>
  <si>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</si>
  <si>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</si>
  <si>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</si>
  <si>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</si>
  <si>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</si>
  <si>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</si>
  <si>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</si>
  <si>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</si>
  <si>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</si>
  <si>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</si>
  <si>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</si>
  <si>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</si>
  <si>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</si>
  <si>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</si>
  <si>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</si>
  <si>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</si>
  <si>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</si>
  <si>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</si>
  <si>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</si>
  <si>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</si>
  <si>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</si>
  <si>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</si>
  <si>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</si>
  <si>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</si>
  <si>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</si>
  <si>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</si>
  <si>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</si>
  <si>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</si>
  <si>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</si>
  <si>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</si>
  <si>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</si>
  <si>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</si>
  <si>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</si>
  <si>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Sprite health bar table</t>
  </si>
  <si>
    <t>Enemy health bar atlas (NMI memory)</t>
  </si>
  <si>
    <t>Tile types (keyboard buffer)</t>
  </si>
  <si>
    <t>Draw object jump tables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</si>
  <si>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</si>
  <si>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</si>
  <si>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</si>
  <si>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</si>
  <si>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</si>
  <si>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</si>
  <si>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</si>
  <si>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</si>
  <si>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</si>
  <si>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</si>
  <si>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</si>
  <si>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</si>
  <si>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</si>
  <si>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</si>
  <si>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</si>
  <si>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</si>
  <si>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</si>
  <si>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</si>
  <si>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</si>
  <si>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</si>
  <si>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</si>
  <si>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</si>
  <si>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Unused memory</t>
  </si>
  <si>
    <t>9 game objects array</t>
  </si>
  <si>
    <t>2 K9 sprites</t>
  </si>
  <si>
    <t>16K</t>
  </si>
  <si>
    <t>8 K9 sprites</t>
  </si>
  <si>
    <t>level palette</t>
  </si>
  <si>
    <t>402E</t>
  </si>
  <si>
    <t>40F3</t>
  </si>
  <si>
    <t>4FA3</t>
  </si>
  <si>
    <t>401E</t>
  </si>
  <si>
    <t>27 level tiles</t>
  </si>
  <si>
    <t>drawObject jump table</t>
  </si>
  <si>
    <t>&amp;10EC</t>
  </si>
  <si>
    <t>58A3</t>
  </si>
  <si>
    <t>Level lasered sprites / PCM load buffer</t>
  </si>
  <si>
    <t>Titles</t>
  </si>
  <si>
    <t>Interstitial experiences</t>
  </si>
  <si>
    <t>Finale experience</t>
  </si>
  <si>
    <t>Load level</t>
  </si>
  <si>
    <t>Game Complete</t>
  </si>
  <si>
    <t>Startup</t>
  </si>
  <si>
    <t>Gameplay</t>
  </si>
  <si>
    <t>…</t>
  </si>
  <si>
    <t>object extents</t>
  </si>
  <si>
    <t>Object extents</t>
  </si>
  <si>
    <t>10F5</t>
  </si>
  <si>
    <t>&amp;10F5</t>
  </si>
  <si>
    <t>1 elevator sprite</t>
  </si>
  <si>
    <t>3 elevator sprites</t>
  </si>
  <si>
    <t>60CC</t>
  </si>
  <si>
    <t>6B6A</t>
  </si>
  <si>
    <t>77ED</t>
  </si>
  <si>
    <t>691F</t>
  </si>
  <si>
    <t>mode7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</si>
</sst>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  <font>
      <i/>
      <sz val="11"/>
      <color theme="1"/>
      <name val="Aptos"/>
      <family val="2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0" borderId="32" xfId="0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3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3" fillId="4" borderId="7" xfId="0" quotePrefix="1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/>
    </xf>
    <xf numFmtId="0" fontId="0" fillId="4" borderId="0" xfId="0" applyFill="1"/>
    <xf numFmtId="0" fontId="0" fillId="4" borderId="8" xfId="0" applyFill="1" applyBorder="1"/>
    <xf numFmtId="0" fontId="4" fillId="4" borderId="7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vertical="center"/>
    </xf>
    <xf numFmtId="11" fontId="3" fillId="4" borderId="7" xfId="0" quotePrefix="1" applyNumberFormat="1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4" borderId="11" xfId="0" applyFill="1" applyBorder="1"/>
    <xf numFmtId="0" fontId="0" fillId="4" borderId="7" xfId="0" applyFill="1" applyBorder="1" applyAlignment="1">
      <alignment horizontal="lef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5" fillId="4" borderId="0" xfId="0" applyFont="1" applyFill="1" applyAlignment="1">
      <alignment vertical="center"/>
    </xf>
    <xf numFmtId="2" fontId="7" fillId="0" borderId="0" xfId="0" applyNumberFormat="1" applyFont="1" applyAlignment="1">
      <alignment horizontal="left"/>
    </xf>
    <xf numFmtId="0" fontId="6" fillId="0" borderId="0" xfId="0" applyFont="1"/>
    <xf numFmtId="0" fontId="1" fillId="0" borderId="7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1" fillId="0" borderId="29" xfId="0" applyFont="1" applyBorder="1"/>
    <xf numFmtId="0" fontId="1" fillId="0" borderId="4" xfId="0" applyFont="1" applyBorder="1"/>
    <xf numFmtId="0" fontId="0" fillId="0" borderId="4" xfId="0" applyBorder="1" applyAlignment="1">
      <alignment horizontal="left"/>
    </xf>
    <xf numFmtId="0" fontId="3" fillId="0" borderId="0" xfId="0" quotePrefix="1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1" fontId="3" fillId="0" borderId="0" xfId="0" quotePrefix="1" applyNumberFormat="1" applyFont="1" applyAlignment="1">
      <alignment horizontal="left" vertical="center"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7" fillId="0" borderId="7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7" xfId="0" quotePrefix="1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7"/>
  <sheetViews>
    <sheetView tabSelected="1" topLeftCell="A85" workbookViewId="0">
      <selection activeCell="B103" sqref="B103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38" t="s">
        <v>4</v>
      </c>
      <c r="C2" s="140" t="s">
        <v>0</v>
      </c>
      <c r="D2" s="135" t="s">
        <v>2</v>
      </c>
      <c r="E2" s="134" t="s">
        <v>22</v>
      </c>
      <c r="F2" s="137"/>
      <c r="G2" s="134" t="s">
        <v>13</v>
      </c>
      <c r="H2" s="135"/>
      <c r="I2" s="136" t="s">
        <v>12</v>
      </c>
      <c r="J2" s="137"/>
      <c r="K2" s="134" t="s">
        <v>14</v>
      </c>
      <c r="L2" s="135"/>
      <c r="M2" s="136" t="s">
        <v>15</v>
      </c>
      <c r="N2" s="137"/>
      <c r="O2" s="43" t="s">
        <v>6</v>
      </c>
      <c r="P2" s="14" t="str">
        <f>DEC2HEX(HEX2DEC(3140)-P14)</f>
        <v>2CB8</v>
      </c>
      <c r="R2" s="15"/>
    </row>
    <row r="3" spans="2:18" x14ac:dyDescent="0.35">
      <c r="B3" s="139"/>
      <c r="C3" s="141"/>
      <c r="D3" s="142"/>
      <c r="E3" s="141" t="s">
        <v>23</v>
      </c>
      <c r="F3" s="143"/>
      <c r="G3" s="141" t="s">
        <v>23</v>
      </c>
      <c r="H3" s="142"/>
      <c r="I3" s="41"/>
      <c r="J3" s="40"/>
      <c r="K3" s="141" t="s">
        <v>23</v>
      </c>
      <c r="L3" s="142"/>
      <c r="M3" s="143" t="s">
        <v>23</v>
      </c>
      <c r="N3" s="143"/>
      <c r="O3" s="42"/>
      <c r="P3" s="24"/>
      <c r="R3" s="15"/>
    </row>
    <row r="4" spans="2:18" x14ac:dyDescent="0.35">
      <c r="B4" s="139"/>
      <c r="C4" s="141"/>
      <c r="D4" s="142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1</v>
      </c>
      <c r="F9" s="30">
        <f>E9*$D9</f>
        <v>24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3</v>
      </c>
      <c r="P9" s="6">
        <f>O9*$D9</f>
        <v>72</v>
      </c>
    </row>
    <row r="10" spans="2:18" x14ac:dyDescent="0.35">
      <c r="B10" s="1" t="s">
        <v>64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86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216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1160</v>
      </c>
    </row>
    <row r="15" spans="2:18" x14ac:dyDescent="0.35">
      <c r="B15" s="18" t="s">
        <v>16</v>
      </c>
      <c r="C15" s="19"/>
      <c r="D15" s="20"/>
      <c r="E15" s="28"/>
      <c r="F15" s="30">
        <v>216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40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9" thickBot="1" x14ac:dyDescent="0.5">
      <c r="B18" s="111" t="s">
        <v>102</v>
      </c>
      <c r="P18" s="3"/>
    </row>
    <row r="19" spans="2:16" ht="15" thickBot="1" x14ac:dyDescent="0.4">
      <c r="B19" s="60" t="s">
        <v>7</v>
      </c>
      <c r="C19" s="56" t="s">
        <v>20</v>
      </c>
      <c r="D19" s="61" t="s">
        <v>8</v>
      </c>
      <c r="E19" s="55"/>
      <c r="F19" s="57"/>
      <c r="H19" s="119" t="s">
        <v>50</v>
      </c>
      <c r="I19" s="55"/>
      <c r="J19" s="55"/>
      <c r="K19" s="120" t="s">
        <v>7</v>
      </c>
      <c r="L19" s="56" t="s">
        <v>2</v>
      </c>
      <c r="M19" s="120" t="s">
        <v>39</v>
      </c>
      <c r="N19" s="55"/>
      <c r="O19" s="57"/>
    </row>
    <row r="20" spans="2:16" x14ac:dyDescent="0.35">
      <c r="B20" s="59">
        <v>0</v>
      </c>
      <c r="C20" s="62">
        <v>144</v>
      </c>
      <c r="D20" s="55" t="s">
        <v>60</v>
      </c>
      <c r="E20" s="55"/>
      <c r="F20" s="57"/>
      <c r="H20" s="59" t="s">
        <v>38</v>
      </c>
      <c r="I20" s="121"/>
      <c r="J20" s="55"/>
      <c r="K20" s="55" t="s">
        <v>40</v>
      </c>
      <c r="L20" s="62">
        <v>30</v>
      </c>
      <c r="M20" s="55" t="s">
        <v>42</v>
      </c>
      <c r="N20" s="55"/>
      <c r="O20" s="57"/>
    </row>
    <row r="21" spans="2:16" x14ac:dyDescent="0.35">
      <c r="B21" s="79">
        <v>90</v>
      </c>
      <c r="C21" s="126">
        <v>112</v>
      </c>
      <c r="D21" s="127" t="s">
        <v>61</v>
      </c>
      <c r="E21" s="127"/>
      <c r="F21" s="80"/>
      <c r="H21" s="46" t="s">
        <v>62</v>
      </c>
      <c r="I21" s="17"/>
      <c r="K21" t="s">
        <v>41</v>
      </c>
      <c r="L21" s="30">
        <v>64</v>
      </c>
      <c r="M21" t="s">
        <v>42</v>
      </c>
      <c r="O21" s="47"/>
    </row>
    <row r="22" spans="2:16" x14ac:dyDescent="0.35">
      <c r="B22" s="70">
        <v>100</v>
      </c>
      <c r="C22" s="31">
        <f>(24*32/4)</f>
        <v>192</v>
      </c>
      <c r="D22" s="77" t="s">
        <v>24</v>
      </c>
      <c r="E22" s="77"/>
      <c r="F22" s="78"/>
      <c r="H22" s="46" t="s">
        <v>63</v>
      </c>
      <c r="I22" s="17"/>
      <c r="K22" t="s">
        <v>44</v>
      </c>
      <c r="L22" s="30">
        <v>64</v>
      </c>
      <c r="M22" t="s">
        <v>43</v>
      </c>
      <c r="O22" s="47"/>
    </row>
    <row r="23" spans="2:16" x14ac:dyDescent="0.35">
      <c r="B23" s="46" t="str">
        <f t="shared" ref="B23:B47" si="17">DEC2HEX(HEX2DEC(B22)+C22)</f>
        <v>1C0</v>
      </c>
      <c r="C23" s="30">
        <v>24</v>
      </c>
      <c r="D23" t="s">
        <v>108</v>
      </c>
      <c r="F23" s="47"/>
      <c r="H23" s="46" t="s">
        <v>32</v>
      </c>
      <c r="I23" s="17"/>
      <c r="K23" t="s">
        <v>46</v>
      </c>
      <c r="L23" s="30">
        <v>48</v>
      </c>
      <c r="M23" t="s">
        <v>48</v>
      </c>
      <c r="O23" s="47"/>
    </row>
    <row r="24" spans="2:16" x14ac:dyDescent="0.35">
      <c r="B24" s="63" t="str">
        <f t="shared" si="17"/>
        <v>1D8</v>
      </c>
      <c r="C24" s="33">
        <v>40</v>
      </c>
      <c r="D24" s="64" t="s">
        <v>31</v>
      </c>
      <c r="E24" s="65"/>
      <c r="F24" s="66"/>
      <c r="H24" s="46" t="s">
        <v>45</v>
      </c>
      <c r="I24" s="17"/>
      <c r="K24" t="s">
        <v>47</v>
      </c>
      <c r="L24" s="30">
        <v>12</v>
      </c>
      <c r="M24" t="s">
        <v>49</v>
      </c>
      <c r="O24" s="47"/>
    </row>
    <row r="25" spans="2:16" x14ac:dyDescent="0.35">
      <c r="B25" s="71" t="str">
        <f t="shared" si="17"/>
        <v>200</v>
      </c>
      <c r="C25" s="72">
        <v>256</v>
      </c>
      <c r="D25" s="73" t="s">
        <v>9</v>
      </c>
      <c r="E25" s="73"/>
      <c r="F25" s="74"/>
      <c r="H25" s="46" t="s">
        <v>92</v>
      </c>
      <c r="I25" s="17"/>
      <c r="K25" s="17" t="s">
        <v>93</v>
      </c>
      <c r="L25" s="30">
        <v>9</v>
      </c>
      <c r="M25" t="s">
        <v>49</v>
      </c>
      <c r="O25" s="47"/>
    </row>
    <row r="26" spans="2:16" ht="15" thickBot="1" x14ac:dyDescent="0.4">
      <c r="B26" s="46" t="str">
        <f t="shared" si="17"/>
        <v>300</v>
      </c>
      <c r="C26" s="30">
        <v>192</v>
      </c>
      <c r="D26" t="s">
        <v>24</v>
      </c>
      <c r="F26" s="47"/>
      <c r="H26" s="48" t="s">
        <v>104</v>
      </c>
      <c r="I26" s="49"/>
      <c r="J26" s="50"/>
      <c r="K26" s="49" t="s">
        <v>107</v>
      </c>
      <c r="L26" s="16">
        <v>8</v>
      </c>
      <c r="M26" s="50" t="s">
        <v>49</v>
      </c>
      <c r="N26" s="50"/>
      <c r="O26" s="51"/>
    </row>
    <row r="27" spans="2:16" x14ac:dyDescent="0.35">
      <c r="B27" s="46" t="str">
        <f t="shared" si="17"/>
        <v>3C0</v>
      </c>
      <c r="C27" s="30">
        <f>$D$7</f>
        <v>32</v>
      </c>
      <c r="D27" s="128" t="s">
        <v>25</v>
      </c>
      <c r="F27" s="47"/>
      <c r="H27" s="17"/>
    </row>
    <row r="28" spans="2:16" x14ac:dyDescent="0.35">
      <c r="B28" s="63" t="str">
        <f t="shared" si="17"/>
        <v>3E0</v>
      </c>
      <c r="C28" s="33">
        <v>32</v>
      </c>
      <c r="D28" s="65" t="s">
        <v>57</v>
      </c>
      <c r="E28" s="65"/>
      <c r="F28" s="66"/>
      <c r="H28" s="17"/>
      <c r="I28" s="54"/>
    </row>
    <row r="29" spans="2:16" x14ac:dyDescent="0.35">
      <c r="B29" s="46" t="str">
        <f t="shared" si="17"/>
        <v>400</v>
      </c>
      <c r="C29" s="30">
        <v>432</v>
      </c>
      <c r="D29" t="s">
        <v>82</v>
      </c>
      <c r="F29" s="47"/>
    </row>
    <row r="30" spans="2:16" x14ac:dyDescent="0.35">
      <c r="B30" s="46" t="str">
        <f t="shared" si="17"/>
        <v>5B0</v>
      </c>
      <c r="C30" s="30">
        <v>384</v>
      </c>
      <c r="D30" t="s">
        <v>18</v>
      </c>
      <c r="F30" s="47"/>
    </row>
    <row r="31" spans="2:16" x14ac:dyDescent="0.35">
      <c r="B31" s="46" t="str">
        <f t="shared" si="17"/>
        <v>730</v>
      </c>
      <c r="C31" s="30">
        <v>192</v>
      </c>
      <c r="D31" t="s">
        <v>83</v>
      </c>
      <c r="F31" s="47"/>
    </row>
    <row r="32" spans="2:16" x14ac:dyDescent="0.35">
      <c r="B32" s="63" t="str">
        <f t="shared" si="17"/>
        <v>7F0</v>
      </c>
      <c r="C32" s="33">
        <v>16</v>
      </c>
      <c r="D32" s="64" t="s">
        <v>59</v>
      </c>
      <c r="E32" s="65"/>
      <c r="F32" s="66"/>
    </row>
    <row r="33" spans="2:6" x14ac:dyDescent="0.35">
      <c r="B33" s="75" t="str">
        <f t="shared" si="17"/>
        <v>800</v>
      </c>
      <c r="C33" s="129">
        <v>128</v>
      </c>
      <c r="D33" s="130" t="s">
        <v>27</v>
      </c>
      <c r="E33" s="130"/>
      <c r="F33" s="76"/>
    </row>
    <row r="34" spans="2:6" x14ac:dyDescent="0.35">
      <c r="B34" s="46" t="str">
        <f t="shared" si="17"/>
        <v>880</v>
      </c>
      <c r="C34" s="30">
        <v>64</v>
      </c>
      <c r="D34" s="128" t="s">
        <v>66</v>
      </c>
      <c r="F34" s="47"/>
    </row>
    <row r="35" spans="2:6" x14ac:dyDescent="0.35">
      <c r="B35" s="71" t="str">
        <f t="shared" si="17"/>
        <v>8C0</v>
      </c>
      <c r="C35" s="72">
        <f>2*$D$7</f>
        <v>64</v>
      </c>
      <c r="D35" s="73" t="s">
        <v>27</v>
      </c>
      <c r="E35" s="73"/>
      <c r="F35" s="74"/>
    </row>
    <row r="36" spans="2:6" x14ac:dyDescent="0.35">
      <c r="B36" s="46" t="str">
        <f t="shared" si="17"/>
        <v>900</v>
      </c>
      <c r="C36" s="30">
        <v>960</v>
      </c>
      <c r="D36" t="s">
        <v>17</v>
      </c>
      <c r="F36" s="47"/>
    </row>
    <row r="37" spans="2:6" x14ac:dyDescent="0.35">
      <c r="B37" s="63" t="str">
        <f t="shared" si="17"/>
        <v>CC0</v>
      </c>
      <c r="C37" s="33">
        <v>64</v>
      </c>
      <c r="D37" s="65" t="s">
        <v>26</v>
      </c>
      <c r="E37" s="65"/>
      <c r="F37" s="66"/>
    </row>
    <row r="38" spans="2:6" x14ac:dyDescent="0.35">
      <c r="B38" s="46" t="str">
        <f t="shared" si="17"/>
        <v>D00</v>
      </c>
      <c r="C38" s="30">
        <v>32</v>
      </c>
      <c r="D38" s="128" t="s">
        <v>56</v>
      </c>
      <c r="F38" s="47"/>
    </row>
    <row r="39" spans="2:6" x14ac:dyDescent="0.35">
      <c r="B39" s="46" t="str">
        <f>DEC2HEX(HEX2DEC(B38)+C38)</f>
        <v>D20</v>
      </c>
      <c r="C39" s="30">
        <v>64</v>
      </c>
      <c r="D39" s="128" t="s">
        <v>67</v>
      </c>
      <c r="F39" s="47"/>
    </row>
    <row r="40" spans="2:6" x14ac:dyDescent="0.35">
      <c r="B40" s="71" t="str">
        <f t="shared" si="17"/>
        <v>D60</v>
      </c>
      <c r="C40" s="72">
        <v>160</v>
      </c>
      <c r="D40" s="73" t="s">
        <v>51</v>
      </c>
      <c r="E40" s="73"/>
      <c r="F40" s="74"/>
    </row>
    <row r="41" spans="2:6" x14ac:dyDescent="0.35">
      <c r="B41" s="46" t="str">
        <f t="shared" si="17"/>
        <v>E00</v>
      </c>
      <c r="C41" s="30">
        <v>384</v>
      </c>
      <c r="D41" s="128" t="s">
        <v>18</v>
      </c>
      <c r="F41" s="47"/>
    </row>
    <row r="42" spans="2:6" x14ac:dyDescent="0.35">
      <c r="B42" s="46" t="str">
        <f t="shared" si="17"/>
        <v>F80</v>
      </c>
      <c r="C42" s="30">
        <v>32</v>
      </c>
      <c r="D42" s="128" t="s">
        <v>25</v>
      </c>
      <c r="F42" s="47"/>
    </row>
    <row r="43" spans="2:6" x14ac:dyDescent="0.35">
      <c r="B43" s="46" t="str">
        <f t="shared" si="17"/>
        <v>FA0</v>
      </c>
      <c r="C43" s="30">
        <v>96</v>
      </c>
      <c r="D43" s="128" t="s">
        <v>52</v>
      </c>
      <c r="F43" s="47"/>
    </row>
    <row r="44" spans="2:6" x14ac:dyDescent="0.35">
      <c r="B44" s="75" t="str">
        <f t="shared" si="17"/>
        <v>1000</v>
      </c>
      <c r="C44" s="129">
        <v>144</v>
      </c>
      <c r="D44" s="131" t="s">
        <v>21</v>
      </c>
      <c r="E44" s="130"/>
      <c r="F44" s="76"/>
    </row>
    <row r="45" spans="2:6" x14ac:dyDescent="0.35">
      <c r="B45" s="46" t="str">
        <f t="shared" si="17"/>
        <v>1090</v>
      </c>
      <c r="C45" s="30">
        <v>48</v>
      </c>
      <c r="D45" s="128" t="s">
        <v>53</v>
      </c>
      <c r="F45" s="47"/>
    </row>
    <row r="46" spans="2:6" x14ac:dyDescent="0.35">
      <c r="B46" s="46" t="str">
        <f t="shared" si="17"/>
        <v>10C0</v>
      </c>
      <c r="C46" s="30">
        <v>32</v>
      </c>
      <c r="D46" s="128" t="s">
        <v>21</v>
      </c>
      <c r="F46" s="47"/>
    </row>
    <row r="47" spans="2:6" x14ac:dyDescent="0.35">
      <c r="B47" s="46" t="str">
        <f t="shared" si="17"/>
        <v>10E0</v>
      </c>
      <c r="C47" s="30">
        <v>12</v>
      </c>
      <c r="D47" s="128" t="s">
        <v>55</v>
      </c>
      <c r="F47" s="47"/>
    </row>
    <row r="48" spans="2:6" x14ac:dyDescent="0.35">
      <c r="B48" s="46" t="str">
        <f>DEC2HEX(HEX2DEC(B46)+C46)</f>
        <v>10E0</v>
      </c>
      <c r="C48" s="30">
        <v>9</v>
      </c>
      <c r="D48" s="128" t="s">
        <v>58</v>
      </c>
      <c r="F48" s="47"/>
    </row>
    <row r="49" spans="2:6" x14ac:dyDescent="0.35">
      <c r="B49" s="46" t="s">
        <v>106</v>
      </c>
      <c r="C49" s="30">
        <v>8</v>
      </c>
      <c r="D49" s="128" t="s">
        <v>105</v>
      </c>
      <c r="F49" s="47"/>
    </row>
    <row r="50" spans="2:6" x14ac:dyDescent="0.35">
      <c r="B50" s="81">
        <v>1100</v>
      </c>
      <c r="C50" s="67">
        <f>HEX2DEC(B51)-HEX2DEC(B50)</f>
        <v>7320</v>
      </c>
      <c r="D50" s="68" t="s">
        <v>10</v>
      </c>
      <c r="E50" s="68"/>
      <c r="F50" s="69"/>
    </row>
    <row r="51" spans="2:6" x14ac:dyDescent="0.35">
      <c r="B51" s="70" t="str">
        <f t="shared" ref="B51:B53" si="18">DEC2HEX(HEX2DEC(B52)-C51)</f>
        <v>2D98</v>
      </c>
      <c r="C51" s="31">
        <v>768</v>
      </c>
      <c r="D51" s="77" t="s">
        <v>85</v>
      </c>
      <c r="E51" s="77"/>
      <c r="F51" s="78"/>
    </row>
    <row r="52" spans="2:6" x14ac:dyDescent="0.35">
      <c r="B52" s="46" t="str">
        <f t="shared" si="18"/>
        <v>3098</v>
      </c>
      <c r="C52" s="30">
        <f>24*3</f>
        <v>72</v>
      </c>
      <c r="D52" t="s">
        <v>109</v>
      </c>
      <c r="F52" s="47"/>
    </row>
    <row r="53" spans="2:6" x14ac:dyDescent="0.35">
      <c r="B53" s="46" t="str">
        <f t="shared" si="18"/>
        <v>30E0</v>
      </c>
      <c r="C53" s="30">
        <v>96</v>
      </c>
      <c r="D53" t="s">
        <v>65</v>
      </c>
      <c r="F53" s="47"/>
    </row>
    <row r="54" spans="2:6" x14ac:dyDescent="0.35">
      <c r="B54" s="46" t="str">
        <f>DEC2HEX(HEX2DEC(B55)-C54)</f>
        <v>3140</v>
      </c>
      <c r="C54" s="30" t="b">
        <f>B94=$D$11</f>
        <v>0</v>
      </c>
      <c r="D54" t="s">
        <v>28</v>
      </c>
      <c r="F54" s="47"/>
    </row>
    <row r="55" spans="2:6" x14ac:dyDescent="0.35">
      <c r="B55" s="70" t="str">
        <f>DEC2HEX(HEX2DEC(B56)-C55)</f>
        <v>3140</v>
      </c>
      <c r="C55" s="31">
        <v>1728</v>
      </c>
      <c r="D55" s="113" t="s">
        <v>91</v>
      </c>
      <c r="E55" s="77"/>
      <c r="F55" s="78"/>
    </row>
    <row r="56" spans="2:6" x14ac:dyDescent="0.35">
      <c r="B56" s="46" t="str">
        <f>DEC2HEX(HEX2DEC(B57)-C56)</f>
        <v>3800</v>
      </c>
      <c r="C56" s="30">
        <f>2048</f>
        <v>2048</v>
      </c>
      <c r="D56" s="17" t="s">
        <v>30</v>
      </c>
      <c r="F56" s="47"/>
    </row>
    <row r="57" spans="2:6" ht="15" thickBot="1" x14ac:dyDescent="0.4">
      <c r="B57" s="114">
        <v>4000</v>
      </c>
      <c r="C57" s="115" t="s">
        <v>84</v>
      </c>
      <c r="D57" s="116" t="s">
        <v>19</v>
      </c>
      <c r="E57" s="117"/>
      <c r="F57" s="118"/>
    </row>
    <row r="58" spans="2:6" x14ac:dyDescent="0.35">
      <c r="B58" s="46"/>
      <c r="C58" s="17"/>
      <c r="D58" s="17"/>
      <c r="F58" s="47"/>
    </row>
    <row r="59" spans="2:6" ht="19" thickBot="1" x14ac:dyDescent="0.5">
      <c r="B59" s="132" t="s">
        <v>101</v>
      </c>
      <c r="C59" s="17"/>
      <c r="D59" s="17"/>
      <c r="F59" s="47"/>
    </row>
    <row r="60" spans="2:6" ht="15" thickBot="1" x14ac:dyDescent="0.4">
      <c r="B60" s="86" t="s">
        <v>7</v>
      </c>
      <c r="C60" s="58" t="s">
        <v>20</v>
      </c>
      <c r="D60" s="87" t="s">
        <v>8</v>
      </c>
      <c r="E60" s="52"/>
      <c r="F60" s="53"/>
    </row>
    <row r="61" spans="2:6" x14ac:dyDescent="0.35">
      <c r="B61" s="112" t="s">
        <v>103</v>
      </c>
      <c r="C61" s="28"/>
      <c r="D61" s="133"/>
      <c r="F61" s="47"/>
    </row>
    <row r="62" spans="2:6" x14ac:dyDescent="0.35">
      <c r="B62" s="101" t="str">
        <f>DEC2HEX(HEX2DEC(B63)-C62)</f>
        <v>3140</v>
      </c>
      <c r="C62" s="102">
        <v>1728</v>
      </c>
      <c r="D62" s="103" t="s">
        <v>91</v>
      </c>
      <c r="E62" s="104"/>
      <c r="F62" s="105"/>
    </row>
    <row r="63" spans="2:6" x14ac:dyDescent="0.35">
      <c r="B63" s="106" t="str">
        <f>DEC2HEX(HEX2DEC(B64)-C63)</f>
        <v>3800</v>
      </c>
      <c r="C63" s="107">
        <f>2048</f>
        <v>2048</v>
      </c>
      <c r="D63" s="108" t="s">
        <v>30</v>
      </c>
      <c r="E63" s="95"/>
      <c r="F63" s="96"/>
    </row>
    <row r="64" spans="2:6" x14ac:dyDescent="0.35">
      <c r="B64" s="100">
        <v>4000</v>
      </c>
      <c r="C64" s="93">
        <f>HEX2DEC(B65)-HEX2DEC(B64)</f>
        <v>2</v>
      </c>
      <c r="D64" s="94" t="s">
        <v>68</v>
      </c>
      <c r="E64" s="95"/>
      <c r="F64" s="96"/>
    </row>
    <row r="65" spans="2:7" x14ac:dyDescent="0.35">
      <c r="B65" s="100">
        <v>4002</v>
      </c>
      <c r="C65" s="93">
        <f>HEX2DEC(B66)-HEX2DEC(B65)</f>
        <v>28</v>
      </c>
      <c r="D65" s="94" t="s">
        <v>69</v>
      </c>
      <c r="E65" s="95"/>
      <c r="F65" s="96"/>
    </row>
    <row r="66" spans="2:7" x14ac:dyDescent="0.35">
      <c r="B66" s="92" t="s">
        <v>90</v>
      </c>
      <c r="C66" s="93">
        <f t="shared" ref="C66:C70" si="19">HEX2DEC(B67)-HEX2DEC(B66)</f>
        <v>16</v>
      </c>
      <c r="D66" s="94" t="s">
        <v>29</v>
      </c>
      <c r="E66" s="95"/>
      <c r="F66" s="96"/>
    </row>
    <row r="67" spans="2:7" x14ac:dyDescent="0.35">
      <c r="B67" s="92" t="s">
        <v>87</v>
      </c>
      <c r="C67" s="93">
        <f t="shared" si="19"/>
        <v>5</v>
      </c>
      <c r="D67" s="94" t="s">
        <v>70</v>
      </c>
      <c r="E67" s="95"/>
      <c r="F67" s="96"/>
    </row>
    <row r="68" spans="2:7" x14ac:dyDescent="0.35">
      <c r="B68" s="92">
        <v>4033</v>
      </c>
      <c r="C68" s="93">
        <f t="shared" si="19"/>
        <v>192</v>
      </c>
      <c r="D68" s="94" t="s">
        <v>71</v>
      </c>
      <c r="E68" s="95"/>
      <c r="F68" s="96"/>
      <c r="G68" s="122"/>
    </row>
    <row r="69" spans="2:7" x14ac:dyDescent="0.35">
      <c r="B69" s="92" t="s">
        <v>88</v>
      </c>
      <c r="C69" s="93">
        <f t="shared" si="19"/>
        <v>48</v>
      </c>
      <c r="D69" s="94" t="s">
        <v>72</v>
      </c>
      <c r="E69" s="95"/>
      <c r="F69" s="96"/>
      <c r="G69" s="123"/>
    </row>
    <row r="70" spans="2:7" x14ac:dyDescent="0.35">
      <c r="B70" s="92">
        <v>4123</v>
      </c>
      <c r="C70" s="93">
        <f t="shared" si="19"/>
        <v>3712</v>
      </c>
      <c r="D70" s="94" t="s">
        <v>73</v>
      </c>
      <c r="E70" s="95"/>
      <c r="F70" s="96"/>
      <c r="G70" s="123"/>
    </row>
    <row r="71" spans="2:7" x14ac:dyDescent="0.35">
      <c r="B71" s="92" t="s">
        <v>89</v>
      </c>
      <c r="C71" s="93">
        <f t="shared" ref="C71:C77" si="20">HEX2DEC(B72)-HEX2DEC(B71)</f>
        <v>2304</v>
      </c>
      <c r="D71" s="94" t="s">
        <v>95</v>
      </c>
      <c r="E71" s="95"/>
      <c r="F71" s="96"/>
      <c r="G71" s="123"/>
    </row>
    <row r="72" spans="2:7" x14ac:dyDescent="0.35">
      <c r="B72" s="92" t="s">
        <v>94</v>
      </c>
      <c r="C72" s="93">
        <f t="shared" si="20"/>
        <v>2089</v>
      </c>
      <c r="D72" s="94" t="s">
        <v>74</v>
      </c>
      <c r="E72" s="95"/>
      <c r="F72" s="96"/>
      <c r="G72" s="123"/>
    </row>
    <row r="73" spans="2:7" x14ac:dyDescent="0.35">
      <c r="B73" s="92" t="s">
        <v>110</v>
      </c>
      <c r="C73" s="93">
        <f t="shared" si="20"/>
        <v>84</v>
      </c>
      <c r="D73" s="94" t="s">
        <v>75</v>
      </c>
      <c r="E73" s="95"/>
      <c r="F73" s="96"/>
      <c r="G73" s="124"/>
    </row>
    <row r="74" spans="2:7" x14ac:dyDescent="0.35">
      <c r="B74" s="97">
        <v>6120</v>
      </c>
      <c r="C74" s="93">
        <f t="shared" si="20"/>
        <v>2634</v>
      </c>
      <c r="D74" s="98" t="s">
        <v>96</v>
      </c>
      <c r="E74" s="95"/>
      <c r="F74" s="96"/>
      <c r="G74" s="125"/>
    </row>
    <row r="75" spans="2:7" x14ac:dyDescent="0.35">
      <c r="B75" s="99" t="s">
        <v>111</v>
      </c>
      <c r="C75" s="93">
        <f t="shared" si="20"/>
        <v>3203</v>
      </c>
      <c r="D75" s="94" t="s">
        <v>76</v>
      </c>
      <c r="E75" s="95"/>
      <c r="F75" s="96"/>
      <c r="G75" s="125"/>
    </row>
    <row r="76" spans="2:7" x14ac:dyDescent="0.35">
      <c r="B76" s="89" t="s">
        <v>112</v>
      </c>
      <c r="C76" s="82">
        <f t="shared" si="20"/>
        <v>787</v>
      </c>
      <c r="D76" s="91" t="s">
        <v>81</v>
      </c>
      <c r="F76" s="47"/>
    </row>
    <row r="77" spans="2:7" x14ac:dyDescent="0.35">
      <c r="B77" s="88" t="s">
        <v>77</v>
      </c>
      <c r="C77" s="82">
        <f t="shared" si="20"/>
        <v>256</v>
      </c>
      <c r="D77" s="83" t="s">
        <v>78</v>
      </c>
      <c r="F77" s="47"/>
    </row>
    <row r="78" spans="2:7" ht="15" thickBot="1" x14ac:dyDescent="0.4">
      <c r="B78" s="90" t="s">
        <v>79</v>
      </c>
      <c r="C78" s="84">
        <v>1024</v>
      </c>
      <c r="D78" s="85" t="s">
        <v>80</v>
      </c>
      <c r="E78" s="50"/>
      <c r="F78" s="51"/>
    </row>
    <row r="79" spans="2:7" x14ac:dyDescent="0.35">
      <c r="B79" s="45"/>
      <c r="C79" s="82"/>
    </row>
    <row r="80" spans="2:7" ht="19" thickBot="1" x14ac:dyDescent="0.5">
      <c r="B80" s="110" t="s">
        <v>99</v>
      </c>
      <c r="C80" s="82"/>
    </row>
    <row r="81" spans="2:6" ht="15" thickBot="1" x14ac:dyDescent="0.4">
      <c r="B81" s="86" t="s">
        <v>7</v>
      </c>
      <c r="C81" s="58" t="s">
        <v>20</v>
      </c>
      <c r="D81" s="87" t="s">
        <v>8</v>
      </c>
      <c r="E81" s="52"/>
      <c r="F81" s="53"/>
    </row>
    <row r="82" spans="2:6" x14ac:dyDescent="0.35">
      <c r="B82" s="101" t="str">
        <f>DEC2HEX(HEX2DEC(B83)-C82)</f>
        <v>3140</v>
      </c>
      <c r="C82" s="102">
        <v>1728</v>
      </c>
      <c r="D82" s="103" t="s">
        <v>91</v>
      </c>
      <c r="E82" s="104"/>
      <c r="F82" s="105"/>
    </row>
    <row r="83" spans="2:6" x14ac:dyDescent="0.35">
      <c r="B83" s="106" t="str">
        <f>DEC2HEX(HEX2DEC(B84)-C83)</f>
        <v>3800</v>
      </c>
      <c r="C83" s="107">
        <f>2048</f>
        <v>2048</v>
      </c>
      <c r="D83" s="108" t="s">
        <v>30</v>
      </c>
      <c r="E83" s="95"/>
      <c r="F83" s="96"/>
    </row>
    <row r="84" spans="2:6" x14ac:dyDescent="0.35">
      <c r="B84" s="100">
        <v>4000</v>
      </c>
      <c r="C84" s="93">
        <f>HEX2DEC(B85)-HEX2DEC(B84)</f>
        <v>2</v>
      </c>
      <c r="D84" s="94" t="s">
        <v>68</v>
      </c>
      <c r="E84" s="95"/>
      <c r="F84" s="96"/>
    </row>
    <row r="85" spans="2:6" x14ac:dyDescent="0.35">
      <c r="B85" s="100">
        <v>4002</v>
      </c>
      <c r="C85" s="93">
        <f>HEX2DEC(B86)-HEX2DEC(B85)</f>
        <v>28</v>
      </c>
      <c r="D85" s="94" t="s">
        <v>69</v>
      </c>
      <c r="E85" s="95"/>
      <c r="F85" s="96"/>
    </row>
    <row r="86" spans="2:6" x14ac:dyDescent="0.35">
      <c r="B86" s="92" t="s">
        <v>90</v>
      </c>
      <c r="C86" s="93">
        <f t="shared" ref="C86:C96" si="21">HEX2DEC(B87)-HEX2DEC(B86)</f>
        <v>16</v>
      </c>
      <c r="D86" s="94" t="s">
        <v>29</v>
      </c>
      <c r="E86" s="95"/>
      <c r="F86" s="96"/>
    </row>
    <row r="87" spans="2:6" x14ac:dyDescent="0.35">
      <c r="B87" s="92" t="s">
        <v>87</v>
      </c>
      <c r="C87" s="93">
        <f t="shared" si="21"/>
        <v>5</v>
      </c>
      <c r="D87" s="94" t="s">
        <v>70</v>
      </c>
      <c r="E87" s="95"/>
      <c r="F87" s="96"/>
    </row>
    <row r="88" spans="2:6" x14ac:dyDescent="0.35">
      <c r="B88" s="92">
        <v>4033</v>
      </c>
      <c r="C88" s="93">
        <f t="shared" si="21"/>
        <v>192</v>
      </c>
      <c r="D88" s="94" t="s">
        <v>71</v>
      </c>
      <c r="E88" s="95"/>
      <c r="F88" s="96"/>
    </row>
    <row r="89" spans="2:6" x14ac:dyDescent="0.35">
      <c r="B89" s="92" t="s">
        <v>88</v>
      </c>
      <c r="C89" s="93">
        <f t="shared" si="21"/>
        <v>48</v>
      </c>
      <c r="D89" s="94" t="s">
        <v>72</v>
      </c>
      <c r="E89" s="95"/>
      <c r="F89" s="96"/>
    </row>
    <row r="90" spans="2:6" x14ac:dyDescent="0.35">
      <c r="B90" s="92">
        <v>4123</v>
      </c>
      <c r="C90" s="93">
        <f t="shared" si="21"/>
        <v>3712</v>
      </c>
      <c r="D90" s="94" t="s">
        <v>73</v>
      </c>
      <c r="E90" s="95"/>
      <c r="F90" s="96"/>
    </row>
    <row r="91" spans="2:6" x14ac:dyDescent="0.35">
      <c r="B91" s="92" t="s">
        <v>89</v>
      </c>
      <c r="C91" s="93">
        <f t="shared" si="21"/>
        <v>2304</v>
      </c>
      <c r="D91" s="94" t="s">
        <v>95</v>
      </c>
      <c r="E91" s="95"/>
      <c r="F91" s="96"/>
    </row>
    <row r="92" spans="2:6" x14ac:dyDescent="0.35">
      <c r="B92" s="92" t="s">
        <v>94</v>
      </c>
      <c r="C92" s="93">
        <f t="shared" si="21"/>
        <v>2089</v>
      </c>
      <c r="D92" s="94" t="s">
        <v>74</v>
      </c>
      <c r="E92" s="95"/>
      <c r="F92" s="96"/>
    </row>
    <row r="93" spans="2:6" x14ac:dyDescent="0.35">
      <c r="B93" s="92" t="s">
        <v>110</v>
      </c>
      <c r="C93" s="93">
        <f t="shared" si="21"/>
        <v>84</v>
      </c>
      <c r="D93" s="94" t="s">
        <v>75</v>
      </c>
      <c r="E93" s="95"/>
      <c r="F93" s="96"/>
    </row>
    <row r="94" spans="2:6" x14ac:dyDescent="0.35">
      <c r="B94" s="97">
        <v>6120</v>
      </c>
      <c r="C94" s="93">
        <f t="shared" si="21"/>
        <v>2064</v>
      </c>
      <c r="D94" s="98" t="s">
        <v>97</v>
      </c>
      <c r="E94" s="95"/>
      <c r="F94" s="96"/>
    </row>
    <row r="95" spans="2:6" x14ac:dyDescent="0.35">
      <c r="B95" s="144">
        <v>6930</v>
      </c>
      <c r="C95" s="82">
        <f t="shared" si="21"/>
        <v>4560</v>
      </c>
      <c r="D95" s="91" t="s">
        <v>81</v>
      </c>
      <c r="F95" s="47"/>
    </row>
    <row r="96" spans="2:6" x14ac:dyDescent="0.35">
      <c r="B96" s="88" t="s">
        <v>77</v>
      </c>
      <c r="C96" s="82">
        <f t="shared" si="21"/>
        <v>256</v>
      </c>
      <c r="D96" s="83" t="s">
        <v>78</v>
      </c>
      <c r="F96" s="47"/>
    </row>
    <row r="97" spans="2:6" ht="15" thickBot="1" x14ac:dyDescent="0.4">
      <c r="B97" s="90" t="s">
        <v>79</v>
      </c>
      <c r="C97" s="84">
        <v>1024</v>
      </c>
      <c r="D97" s="85" t="s">
        <v>80</v>
      </c>
      <c r="E97" s="50"/>
      <c r="F97" s="51"/>
    </row>
    <row r="98" spans="2:6" x14ac:dyDescent="0.35">
      <c r="B98" s="45"/>
    </row>
    <row r="99" spans="2:6" ht="19" thickBot="1" x14ac:dyDescent="0.5">
      <c r="B99" s="110" t="s">
        <v>100</v>
      </c>
    </row>
    <row r="100" spans="2:6" ht="15" thickBot="1" x14ac:dyDescent="0.4">
      <c r="B100" s="86" t="s">
        <v>7</v>
      </c>
      <c r="C100" s="58" t="s">
        <v>20</v>
      </c>
      <c r="D100" s="87" t="s">
        <v>8</v>
      </c>
      <c r="E100" s="52"/>
      <c r="F100" s="53"/>
    </row>
    <row r="101" spans="2:6" x14ac:dyDescent="0.35">
      <c r="B101" s="92" t="s">
        <v>110</v>
      </c>
      <c r="C101" s="93">
        <f t="shared" ref="C101:C106" si="22">HEX2DEC(B102)-HEX2DEC(B101)</f>
        <v>84</v>
      </c>
      <c r="D101" s="94" t="s">
        <v>75</v>
      </c>
      <c r="E101" s="95"/>
      <c r="F101" s="96"/>
    </row>
    <row r="102" spans="2:6" x14ac:dyDescent="0.35">
      <c r="B102" s="97">
        <v>6120</v>
      </c>
      <c r="C102" s="93">
        <f t="shared" si="22"/>
        <v>2047</v>
      </c>
      <c r="D102" s="98" t="s">
        <v>98</v>
      </c>
      <c r="E102" s="95"/>
      <c r="F102" s="96"/>
    </row>
    <row r="103" spans="2:6" x14ac:dyDescent="0.35">
      <c r="B103" s="97" t="s">
        <v>113</v>
      </c>
      <c r="C103" s="93">
        <f t="shared" si="22"/>
        <v>587</v>
      </c>
      <c r="D103" s="109" t="s">
        <v>81</v>
      </c>
      <c r="E103" s="95"/>
      <c r="F103" s="96"/>
    </row>
    <row r="104" spans="2:6" x14ac:dyDescent="0.35">
      <c r="B104" s="99" t="s">
        <v>111</v>
      </c>
      <c r="C104" s="93">
        <f t="shared" si="22"/>
        <v>3203</v>
      </c>
      <c r="D104" s="94" t="s">
        <v>76</v>
      </c>
      <c r="E104" s="95"/>
      <c r="F104" s="96"/>
    </row>
    <row r="105" spans="2:6" x14ac:dyDescent="0.35">
      <c r="B105" s="89" t="s">
        <v>112</v>
      </c>
      <c r="C105" s="82">
        <f t="shared" si="22"/>
        <v>787</v>
      </c>
      <c r="D105" s="91" t="s">
        <v>81</v>
      </c>
      <c r="E105" t="s">
        <v>114</v>
      </c>
      <c r="F105" s="47"/>
    </row>
    <row r="106" spans="2:6" x14ac:dyDescent="0.35">
      <c r="B106" s="88" t="s">
        <v>77</v>
      </c>
      <c r="C106" s="82">
        <f t="shared" si="22"/>
        <v>256</v>
      </c>
      <c r="D106" s="83" t="s">
        <v>78</v>
      </c>
      <c r="F106" s="47"/>
    </row>
    <row r="107" spans="2:6" ht="15" thickBot="1" x14ac:dyDescent="0.4">
      <c r="B107" s="90" t="s">
        <v>79</v>
      </c>
      <c r="C107" s="84">
        <v>1024</v>
      </c>
      <c r="D107" s="85" t="s">
        <v>80</v>
      </c>
      <c r="E107" s="50"/>
      <c r="F107" s="51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2026-03-18T14:43:59Z</dcterms:modified>
</cp:coreProperties>
</file>