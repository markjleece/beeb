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BC0A388A-BE0A-48F5-A784-4014B9BF170B}" xr6:coauthVersionLast="47" xr6:coauthVersionMax="47" xr10:uidLastSave="{00000000-0000-0000-0000-000000000000}"/>
  <bookViews>
    <workbookView xWindow="11820" yWindow="360" windowWidth="26580" windowHeight="1999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C59" i="1"/>
  <c r="C60" i="1"/>
  <c r="C61" i="1"/>
  <c r="C58" i="1"/>
  <c r="C57" i="1"/>
  <c r="C51" i="1"/>
  <c r="C70" i="1"/>
  <c r="C69" i="1"/>
  <c r="C68" i="1"/>
  <c r="C62" i="1"/>
  <c r="C63" i="1"/>
  <c r="C64" i="1"/>
  <c r="C65" i="1"/>
  <c r="C66" i="1"/>
  <c r="C67" i="1"/>
  <c r="D10" i="1"/>
  <c r="P10" i="1" s="1"/>
  <c r="F13" i="1"/>
  <c r="H13" i="1"/>
  <c r="J13" i="1"/>
  <c r="L13" i="1"/>
  <c r="N13" i="1"/>
  <c r="P13" i="1"/>
  <c r="C21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N11" i="1"/>
  <c r="C53" i="1"/>
  <c r="B53" i="1" s="1"/>
  <c r="B52" i="1" s="1"/>
  <c r="D9" i="1"/>
  <c r="P9" i="1" s="1"/>
  <c r="D7" i="1"/>
  <c r="F7" i="1" s="1"/>
  <c r="D8" i="1"/>
  <c r="P8" i="1" s="1"/>
  <c r="B51" i="1" l="1"/>
  <c r="B50" i="1" s="1"/>
  <c r="B49" i="1" s="1"/>
  <c r="B48" i="1" s="1"/>
  <c r="F10" i="1"/>
  <c r="H10" i="1"/>
  <c r="N10" i="1"/>
  <c r="J10" i="1"/>
  <c r="L10" i="1"/>
  <c r="H7" i="1"/>
  <c r="L7" i="1"/>
  <c r="N7" i="1"/>
  <c r="C33" i="1"/>
  <c r="F6" i="1"/>
  <c r="H6" i="1"/>
  <c r="J6" i="1"/>
  <c r="L6" i="1"/>
  <c r="N6" i="1"/>
  <c r="B22" i="1"/>
  <c r="B23" i="1" s="1"/>
  <c r="B24" i="1" s="1"/>
  <c r="B25" i="1" s="1"/>
  <c r="B26" i="1" s="1"/>
  <c r="B27" i="1" s="1"/>
  <c r="B28" i="1" s="1"/>
  <c r="C25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29" i="1" l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N14" i="1"/>
  <c r="N16" i="1" s="1"/>
  <c r="H14" i="1"/>
  <c r="H16" i="1" s="1"/>
  <c r="P14" i="1"/>
  <c r="L14" i="1"/>
  <c r="L16" i="1" s="1"/>
  <c r="J14" i="1"/>
  <c r="J16" i="1" s="1"/>
  <c r="F14" i="1"/>
  <c r="F16" i="1" s="1"/>
  <c r="C47" i="1" l="1"/>
</calcChain>
</file>

<file path=xl/sharedStrings.xml><?xml version="1.0" encoding="utf-8"?>
<sst xmlns="http://schemas.openxmlformats.org/spreadsheetml/2006/main" count="128" uniqueCount="101">
  <si>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</si>
  <si>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</si>
  <si>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</si>
  <si>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</si>
  <si>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</si>
  <si>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</si>
  <si>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</si>
  <si>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</si>
  <si>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</si>
  <si>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</si>
  <si>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</si>
  <si>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</si>
  <si>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</si>
  <si>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</si>
  <si>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</si>
  <si>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</si>
  <si>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</si>
  <si>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</si>
  <si>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</si>
  <si>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</si>
  <si>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</si>
  <si>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</si>
  <si>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</si>
  <si>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</si>
  <si>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</si>
  <si>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</si>
  <si>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</si>
  <si>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</si>
  <si>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</si>
  <si>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</si>
  <si>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</si>
  <si>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</si>
  <si>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</si>
  <si>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</si>
  <si>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</si>
  <si>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</si>
  <si>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</si>
  <si>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</si>
  <si>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</si>
  <si>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</si>
  <si>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</si>
  <si>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</si>
  <si>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</si>
  <si>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</si>
  <si>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</si>
  <si>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</si>
  <si>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</si>
  <si>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</si>
  <si>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</si>
  <si>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</si>
  <si>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</si>
  <si>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</si>
  <si>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</si>
  <si>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</si>
  <si>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</si>
  <si>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4 elevator sprites</t>
  </si>
  <si>
    <t>Sprite health bar table</t>
  </si>
  <si>
    <t>Enemy health bar atlas (NMI memory)</t>
  </si>
  <si>
    <t>Tile types (keyboard buffer)</t>
  </si>
  <si>
    <t>Draw object jump tables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</si>
  <si>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</si>
  <si>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</si>
  <si>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</si>
  <si>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</si>
  <si>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</si>
  <si>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</si>
  <si>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</si>
  <si>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</si>
  <si>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</si>
  <si>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</si>
  <si>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</si>
  <si>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</si>
  <si>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</si>
  <si>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</si>
  <si>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</si>
  <si>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</si>
  <si>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</si>
  <si>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</si>
  <si>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</si>
  <si>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</si>
  <si>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</si>
  <si>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</si>
  <si>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</si>
  <si>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</si>
  <si>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Unused memory</t>
  </si>
  <si>
    <t>6E66</t>
  </si>
  <si>
    <t>9 game objects array</t>
  </si>
  <si>
    <t>2 K9 sprites</t>
  </si>
  <si>
    <t>16K</t>
  </si>
  <si>
    <t>8 K9 sprites</t>
  </si>
  <si>
    <t>level palette</t>
  </si>
  <si>
    <t>402E</t>
  </si>
  <si>
    <t>40F3</t>
  </si>
  <si>
    <t>4FA3</t>
  </si>
  <si>
    <t>401E</t>
  </si>
  <si>
    <t>27 level tiles</t>
  </si>
  <si>
    <t>drawObject jump table</t>
  </si>
  <si>
    <t>&amp;10EC</t>
  </si>
  <si>
    <t>56AE</t>
  </si>
  <si>
    <t>60D6</t>
  </si>
  <si>
    <t>6D5B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</si>
</sst>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4" fillId="0" borderId="7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11" fontId="3" fillId="2" borderId="7" xfId="0" quotePrefix="1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97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6" t="s">
        <v>4</v>
      </c>
      <c r="C2" s="118" t="s">
        <v>0</v>
      </c>
      <c r="D2" s="113" t="s">
        <v>2</v>
      </c>
      <c r="E2" s="112" t="s">
        <v>22</v>
      </c>
      <c r="F2" s="115"/>
      <c r="G2" s="112" t="s">
        <v>13</v>
      </c>
      <c r="H2" s="113"/>
      <c r="I2" s="114" t="s">
        <v>12</v>
      </c>
      <c r="J2" s="115"/>
      <c r="K2" s="112" t="s">
        <v>14</v>
      </c>
      <c r="L2" s="113"/>
      <c r="M2" s="114" t="s">
        <v>15</v>
      </c>
      <c r="N2" s="115"/>
      <c r="O2" s="43" t="s">
        <v>6</v>
      </c>
      <c r="P2" s="14" t="str">
        <f>DEC2HEX(HEX2DEC(3140)-P14)</f>
        <v>2CA0</v>
      </c>
      <c r="R2" s="15"/>
    </row>
    <row r="3" spans="2:18" x14ac:dyDescent="0.35">
      <c r="B3" s="117"/>
      <c r="C3" s="119"/>
      <c r="D3" s="120"/>
      <c r="E3" s="119" t="s">
        <v>23</v>
      </c>
      <c r="F3" s="121"/>
      <c r="G3" s="119" t="s">
        <v>23</v>
      </c>
      <c r="H3" s="120"/>
      <c r="I3" s="41"/>
      <c r="J3" s="40"/>
      <c r="K3" s="119" t="s">
        <v>23</v>
      </c>
      <c r="L3" s="120"/>
      <c r="M3" s="121" t="s">
        <v>23</v>
      </c>
      <c r="N3" s="121"/>
      <c r="O3" s="42"/>
      <c r="P3" s="24"/>
      <c r="R3" s="15"/>
    </row>
    <row r="4" spans="2:18" x14ac:dyDescent="0.35">
      <c r="B4" s="117"/>
      <c r="C4" s="119"/>
      <c r="D4" s="120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0</v>
      </c>
      <c r="F9" s="30">
        <f>E9*$D9</f>
        <v>0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4</v>
      </c>
      <c r="P9" s="6">
        <f>O9*$D9</f>
        <v>96</v>
      </c>
    </row>
    <row r="10" spans="2:18" x14ac:dyDescent="0.35">
      <c r="B10" s="1" t="s">
        <v>65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90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ht="15" thickBot="1" x14ac:dyDescent="0.4">
      <c r="P17" s="3"/>
    </row>
    <row r="18" spans="2:16" ht="15" thickBot="1" x14ac:dyDescent="0.4">
      <c r="B18" s="63" t="s">
        <v>7</v>
      </c>
      <c r="C18" s="57" t="s">
        <v>20</v>
      </c>
      <c r="D18" s="64" t="s">
        <v>8</v>
      </c>
      <c r="E18" s="56"/>
      <c r="F18" s="58"/>
      <c r="H18" s="59" t="s">
        <v>50</v>
      </c>
      <c r="I18" s="53"/>
      <c r="J18" s="53"/>
      <c r="K18" s="60" t="s">
        <v>7</v>
      </c>
      <c r="L18" s="61" t="s">
        <v>2</v>
      </c>
      <c r="M18" s="60" t="s">
        <v>39</v>
      </c>
      <c r="N18" s="53"/>
      <c r="O18" s="54"/>
    </row>
    <row r="19" spans="2:16" x14ac:dyDescent="0.35">
      <c r="B19" s="62">
        <v>0</v>
      </c>
      <c r="C19" s="65">
        <v>144</v>
      </c>
      <c r="D19" s="56" t="s">
        <v>61</v>
      </c>
      <c r="E19" s="56"/>
      <c r="F19" s="58"/>
      <c r="H19" s="47" t="s">
        <v>38</v>
      </c>
      <c r="I19" s="17"/>
      <c r="K19" t="s">
        <v>40</v>
      </c>
      <c r="L19" s="30">
        <v>30</v>
      </c>
      <c r="M19" t="s">
        <v>42</v>
      </c>
      <c r="O19" s="48"/>
    </row>
    <row r="20" spans="2:16" x14ac:dyDescent="0.35">
      <c r="B20" s="82">
        <v>90</v>
      </c>
      <c r="C20" s="84">
        <v>112</v>
      </c>
      <c r="D20" s="85" t="s">
        <v>62</v>
      </c>
      <c r="E20" s="85"/>
      <c r="F20" s="83"/>
      <c r="H20" s="47" t="s">
        <v>63</v>
      </c>
      <c r="I20" s="17"/>
      <c r="K20" t="s">
        <v>41</v>
      </c>
      <c r="L20" s="30">
        <v>64</v>
      </c>
      <c r="M20" t="s">
        <v>42</v>
      </c>
      <c r="O20" s="48"/>
    </row>
    <row r="21" spans="2:16" x14ac:dyDescent="0.35">
      <c r="B21" s="73">
        <v>100</v>
      </c>
      <c r="C21" s="31">
        <f>(24*32/4)</f>
        <v>192</v>
      </c>
      <c r="D21" s="80" t="s">
        <v>24</v>
      </c>
      <c r="E21" s="80"/>
      <c r="F21" s="81"/>
      <c r="H21" s="47" t="s">
        <v>64</v>
      </c>
      <c r="I21" s="17"/>
      <c r="K21" t="s">
        <v>44</v>
      </c>
      <c r="L21" s="30">
        <v>64</v>
      </c>
      <c r="M21" t="s">
        <v>43</v>
      </c>
      <c r="O21" s="48"/>
    </row>
    <row r="22" spans="2:16" x14ac:dyDescent="0.35">
      <c r="B22" s="66" t="str">
        <f t="shared" ref="B22:B47" si="17">DEC2HEX(HEX2DEC(B21)+C21)</f>
        <v>1C0</v>
      </c>
      <c r="C22" s="33">
        <v>64</v>
      </c>
      <c r="D22" s="67" t="s">
        <v>31</v>
      </c>
      <c r="E22" s="68"/>
      <c r="F22" s="69"/>
      <c r="H22" s="47" t="s">
        <v>32</v>
      </c>
      <c r="I22" s="17"/>
      <c r="K22" t="s">
        <v>46</v>
      </c>
      <c r="L22" s="30">
        <v>48</v>
      </c>
      <c r="M22" t="s">
        <v>48</v>
      </c>
      <c r="O22" s="48"/>
    </row>
    <row r="23" spans="2:16" x14ac:dyDescent="0.35">
      <c r="B23" s="74" t="str">
        <f t="shared" si="17"/>
        <v>200</v>
      </c>
      <c r="C23" s="75">
        <v>256</v>
      </c>
      <c r="D23" s="76" t="s">
        <v>9</v>
      </c>
      <c r="E23" s="76"/>
      <c r="F23" s="77"/>
      <c r="H23" s="47" t="s">
        <v>45</v>
      </c>
      <c r="I23" s="17"/>
      <c r="K23" t="s">
        <v>47</v>
      </c>
      <c r="L23" s="30">
        <v>12</v>
      </c>
      <c r="M23" t="s">
        <v>49</v>
      </c>
      <c r="O23" s="48"/>
    </row>
    <row r="24" spans="2:16" ht="15" thickBot="1" x14ac:dyDescent="0.4">
      <c r="B24" s="47" t="str">
        <f t="shared" si="17"/>
        <v>300</v>
      </c>
      <c r="C24" s="30">
        <v>192</v>
      </c>
      <c r="D24" t="s">
        <v>24</v>
      </c>
      <c r="F24" s="48"/>
      <c r="H24" s="49" t="s">
        <v>96</v>
      </c>
      <c r="I24" s="50"/>
      <c r="J24" s="51"/>
      <c r="K24" s="50" t="s">
        <v>97</v>
      </c>
      <c r="L24" s="16">
        <v>9</v>
      </c>
      <c r="M24" s="51" t="s">
        <v>49</v>
      </c>
      <c r="N24" s="51"/>
      <c r="O24" s="52"/>
    </row>
    <row r="25" spans="2:16" x14ac:dyDescent="0.35">
      <c r="B25" s="47" t="str">
        <f t="shared" si="17"/>
        <v>3C0</v>
      </c>
      <c r="C25" s="30">
        <f>$D$7</f>
        <v>32</v>
      </c>
      <c r="D25" s="86" t="s">
        <v>25</v>
      </c>
      <c r="F25" s="48"/>
      <c r="H25" s="17"/>
      <c r="I25" s="17"/>
      <c r="K25" s="30"/>
    </row>
    <row r="26" spans="2:16" x14ac:dyDescent="0.35">
      <c r="B26" s="66" t="str">
        <f t="shared" si="17"/>
        <v>3E0</v>
      </c>
      <c r="C26" s="33">
        <v>32</v>
      </c>
      <c r="D26" s="68" t="s">
        <v>58</v>
      </c>
      <c r="E26" s="68"/>
      <c r="F26" s="69"/>
      <c r="H26" s="17"/>
    </row>
    <row r="27" spans="2:16" x14ac:dyDescent="0.35">
      <c r="B27" s="47" t="str">
        <f t="shared" si="17"/>
        <v>400</v>
      </c>
      <c r="C27" s="30">
        <v>432</v>
      </c>
      <c r="D27" t="s">
        <v>86</v>
      </c>
      <c r="F27" s="48"/>
      <c r="H27" s="17"/>
      <c r="I27" s="55"/>
    </row>
    <row r="28" spans="2:16" x14ac:dyDescent="0.35">
      <c r="B28" s="47" t="str">
        <f t="shared" si="17"/>
        <v>5B0</v>
      </c>
      <c r="C28" s="30">
        <v>384</v>
      </c>
      <c r="D28" t="s">
        <v>18</v>
      </c>
      <c r="F28" s="48"/>
    </row>
    <row r="29" spans="2:16" x14ac:dyDescent="0.35">
      <c r="B29" s="47" t="str">
        <f t="shared" si="17"/>
        <v>730</v>
      </c>
      <c r="C29" s="30">
        <v>192</v>
      </c>
      <c r="D29" t="s">
        <v>87</v>
      </c>
      <c r="F29" s="48"/>
    </row>
    <row r="30" spans="2:16" x14ac:dyDescent="0.35">
      <c r="B30" s="66" t="str">
        <f t="shared" si="17"/>
        <v>7F0</v>
      </c>
      <c r="C30" s="33">
        <v>16</v>
      </c>
      <c r="D30" s="67" t="s">
        <v>60</v>
      </c>
      <c r="E30" s="68"/>
      <c r="F30" s="69"/>
    </row>
    <row r="31" spans="2:16" x14ac:dyDescent="0.35">
      <c r="B31" s="78" t="str">
        <f t="shared" si="17"/>
        <v>800</v>
      </c>
      <c r="C31" s="87">
        <v>128</v>
      </c>
      <c r="D31" s="88" t="s">
        <v>27</v>
      </c>
      <c r="E31" s="88"/>
      <c r="F31" s="79"/>
    </row>
    <row r="32" spans="2:16" x14ac:dyDescent="0.35">
      <c r="B32" s="47" t="str">
        <f t="shared" si="17"/>
        <v>880</v>
      </c>
      <c r="C32" s="30">
        <v>64</v>
      </c>
      <c r="D32" s="86" t="s">
        <v>67</v>
      </c>
      <c r="F32" s="48"/>
    </row>
    <row r="33" spans="2:6" x14ac:dyDescent="0.35">
      <c r="B33" s="74" t="str">
        <f t="shared" si="17"/>
        <v>8C0</v>
      </c>
      <c r="C33" s="75">
        <f>2*$D$7</f>
        <v>64</v>
      </c>
      <c r="D33" s="76" t="s">
        <v>27</v>
      </c>
      <c r="E33" s="76"/>
      <c r="F33" s="77"/>
    </row>
    <row r="34" spans="2:6" x14ac:dyDescent="0.35">
      <c r="B34" s="47" t="str">
        <f t="shared" si="17"/>
        <v>900</v>
      </c>
      <c r="C34" s="30">
        <v>960</v>
      </c>
      <c r="D34" t="s">
        <v>17</v>
      </c>
      <c r="F34" s="48"/>
    </row>
    <row r="35" spans="2:6" x14ac:dyDescent="0.35">
      <c r="B35" s="66" t="str">
        <f t="shared" si="17"/>
        <v>CC0</v>
      </c>
      <c r="C35" s="33">
        <v>64</v>
      </c>
      <c r="D35" s="68" t="s">
        <v>26</v>
      </c>
      <c r="E35" s="68"/>
      <c r="F35" s="69"/>
    </row>
    <row r="36" spans="2:6" x14ac:dyDescent="0.35">
      <c r="B36" s="47" t="str">
        <f t="shared" si="17"/>
        <v>D00</v>
      </c>
      <c r="C36" s="30">
        <v>32</v>
      </c>
      <c r="D36" s="86" t="s">
        <v>57</v>
      </c>
      <c r="F36" s="48"/>
    </row>
    <row r="37" spans="2:6" x14ac:dyDescent="0.35">
      <c r="B37" s="47" t="str">
        <f>DEC2HEX(HEX2DEC(B36)+C36)</f>
        <v>D20</v>
      </c>
      <c r="C37" s="30">
        <v>64</v>
      </c>
      <c r="D37" s="86" t="s">
        <v>68</v>
      </c>
      <c r="F37" s="48"/>
    </row>
    <row r="38" spans="2:6" x14ac:dyDescent="0.35">
      <c r="B38" s="74" t="str">
        <f t="shared" si="17"/>
        <v>D60</v>
      </c>
      <c r="C38" s="75">
        <v>160</v>
      </c>
      <c r="D38" s="76" t="s">
        <v>51</v>
      </c>
      <c r="E38" s="76"/>
      <c r="F38" s="77"/>
    </row>
    <row r="39" spans="2:6" x14ac:dyDescent="0.35">
      <c r="B39" s="47" t="str">
        <f t="shared" si="17"/>
        <v>E00</v>
      </c>
      <c r="C39" s="30">
        <v>384</v>
      </c>
      <c r="D39" s="86" t="s">
        <v>18</v>
      </c>
      <c r="F39" s="48"/>
    </row>
    <row r="40" spans="2:6" x14ac:dyDescent="0.35">
      <c r="B40" s="47" t="str">
        <f t="shared" si="17"/>
        <v>F80</v>
      </c>
      <c r="C40" s="30">
        <v>32</v>
      </c>
      <c r="D40" s="86" t="s">
        <v>25</v>
      </c>
      <c r="F40" s="48"/>
    </row>
    <row r="41" spans="2:6" x14ac:dyDescent="0.35">
      <c r="B41" s="66" t="str">
        <f t="shared" si="17"/>
        <v>FA0</v>
      </c>
      <c r="C41" s="33">
        <v>96</v>
      </c>
      <c r="D41" s="67" t="s">
        <v>52</v>
      </c>
      <c r="E41" s="68"/>
      <c r="F41" s="69"/>
    </row>
    <row r="42" spans="2:6" x14ac:dyDescent="0.35">
      <c r="B42" s="78" t="str">
        <f t="shared" si="17"/>
        <v>1000</v>
      </c>
      <c r="C42" s="87">
        <v>144</v>
      </c>
      <c r="D42" s="89" t="s">
        <v>21</v>
      </c>
      <c r="E42" s="88"/>
      <c r="F42" s="79"/>
    </row>
    <row r="43" spans="2:6" x14ac:dyDescent="0.35">
      <c r="B43" s="47" t="str">
        <f t="shared" si="17"/>
        <v>1090</v>
      </c>
      <c r="C43" s="30">
        <v>48</v>
      </c>
      <c r="D43" s="86" t="s">
        <v>53</v>
      </c>
      <c r="F43" s="48"/>
    </row>
    <row r="44" spans="2:6" x14ac:dyDescent="0.35">
      <c r="B44" s="47" t="str">
        <f t="shared" si="17"/>
        <v>10C0</v>
      </c>
      <c r="C44" s="30">
        <v>32</v>
      </c>
      <c r="D44" s="86" t="s">
        <v>21</v>
      </c>
      <c r="F44" s="48"/>
    </row>
    <row r="45" spans="2:6" x14ac:dyDescent="0.35">
      <c r="B45" s="47" t="str">
        <f t="shared" si="17"/>
        <v>10E0</v>
      </c>
      <c r="C45" s="30">
        <v>12</v>
      </c>
      <c r="D45" s="86" t="s">
        <v>56</v>
      </c>
      <c r="F45" s="48"/>
    </row>
    <row r="46" spans="2:6" x14ac:dyDescent="0.35">
      <c r="B46" s="66" t="str">
        <f t="shared" si="17"/>
        <v>10EC</v>
      </c>
      <c r="C46" s="33">
        <v>20</v>
      </c>
      <c r="D46" s="67" t="s">
        <v>59</v>
      </c>
      <c r="E46" s="68"/>
      <c r="F46" s="69"/>
    </row>
    <row r="47" spans="2:6" x14ac:dyDescent="0.35">
      <c r="B47" s="90" t="str">
        <f t="shared" si="17"/>
        <v>1100</v>
      </c>
      <c r="C47" s="70">
        <f>HEX2DEC(B48)-HEX2DEC(B47)</f>
        <v>7072</v>
      </c>
      <c r="D47" s="71" t="s">
        <v>10</v>
      </c>
      <c r="E47" s="71"/>
      <c r="F47" s="72"/>
    </row>
    <row r="48" spans="2:6" x14ac:dyDescent="0.35">
      <c r="B48" s="73" t="str">
        <f t="shared" ref="B48:B50" si="18">DEC2HEX(HEX2DEC(B49)-C48)</f>
        <v>2CA0</v>
      </c>
      <c r="C48" s="31">
        <v>768</v>
      </c>
      <c r="D48" s="80" t="s">
        <v>89</v>
      </c>
      <c r="E48" s="80"/>
      <c r="F48" s="81"/>
    </row>
    <row r="49" spans="2:6" x14ac:dyDescent="0.35">
      <c r="B49" s="47" t="str">
        <f t="shared" si="18"/>
        <v>2FA0</v>
      </c>
      <c r="C49" s="30">
        <v>96</v>
      </c>
      <c r="D49" t="s">
        <v>55</v>
      </c>
      <c r="F49" s="48"/>
    </row>
    <row r="50" spans="2:6" x14ac:dyDescent="0.35">
      <c r="B50" s="47" t="str">
        <f t="shared" si="18"/>
        <v>3000</v>
      </c>
      <c r="C50" s="30">
        <v>96</v>
      </c>
      <c r="D50" t="s">
        <v>66</v>
      </c>
      <c r="F50" s="48"/>
    </row>
    <row r="51" spans="2:6" x14ac:dyDescent="0.35">
      <c r="B51" s="47" t="str">
        <f>DEC2HEX(HEX2DEC(B52)-C51)</f>
        <v>3060</v>
      </c>
      <c r="C51" s="30">
        <f>$D$11</f>
        <v>224</v>
      </c>
      <c r="D51" t="s">
        <v>28</v>
      </c>
      <c r="F51" s="48"/>
    </row>
    <row r="52" spans="2:6" x14ac:dyDescent="0.35">
      <c r="B52" s="73" t="str">
        <f>DEC2HEX(HEX2DEC(B53)-C52)</f>
        <v>3140</v>
      </c>
      <c r="C52" s="31">
        <v>1728</v>
      </c>
      <c r="D52" s="107" t="s">
        <v>95</v>
      </c>
      <c r="E52" s="80"/>
      <c r="F52" s="81"/>
    </row>
    <row r="53" spans="2:6" x14ac:dyDescent="0.35">
      <c r="B53" s="47" t="str">
        <f t="shared" ref="B53" si="19">DEC2HEX(HEX2DEC(B54)-C53)</f>
        <v>3800</v>
      </c>
      <c r="C53" s="30">
        <f>2048</f>
        <v>2048</v>
      </c>
      <c r="D53" s="17" t="s">
        <v>30</v>
      </c>
      <c r="F53" s="48"/>
    </row>
    <row r="54" spans="2:6" ht="15" thickBot="1" x14ac:dyDescent="0.4">
      <c r="B54" s="91">
        <v>4000</v>
      </c>
      <c r="C54" s="92" t="s">
        <v>88</v>
      </c>
      <c r="D54" s="93" t="s">
        <v>19</v>
      </c>
      <c r="E54" s="94"/>
      <c r="F54" s="95"/>
    </row>
    <row r="55" spans="2:6" ht="15" thickBot="1" x14ac:dyDescent="0.4">
      <c r="B55" s="17"/>
      <c r="C55" s="17"/>
      <c r="D55" s="17"/>
    </row>
    <row r="56" spans="2:6" ht="15" thickBot="1" x14ac:dyDescent="0.4">
      <c r="B56" s="100" t="s">
        <v>7</v>
      </c>
      <c r="C56" s="61" t="s">
        <v>20</v>
      </c>
      <c r="D56" s="101" t="s">
        <v>8</v>
      </c>
      <c r="E56" s="53"/>
      <c r="F56" s="54"/>
    </row>
    <row r="57" spans="2:6" x14ac:dyDescent="0.35">
      <c r="B57" s="105">
        <v>4000</v>
      </c>
      <c r="C57" s="96">
        <f>HEX2DEC(B58)-HEX2DEC(B57)</f>
        <v>2</v>
      </c>
      <c r="D57" s="97" t="s">
        <v>69</v>
      </c>
      <c r="F57" s="48"/>
    </row>
    <row r="58" spans="2:6" x14ac:dyDescent="0.35">
      <c r="B58" s="105">
        <v>4002</v>
      </c>
      <c r="C58" s="96">
        <f>HEX2DEC(B59)-HEX2DEC(B58)</f>
        <v>28</v>
      </c>
      <c r="D58" s="97" t="s">
        <v>70</v>
      </c>
      <c r="F58" s="48"/>
    </row>
    <row r="59" spans="2:6" x14ac:dyDescent="0.35">
      <c r="B59" s="105" t="s">
        <v>94</v>
      </c>
      <c r="C59" s="96">
        <f t="shared" ref="C59:C61" si="20">HEX2DEC(B60)-HEX2DEC(B59)</f>
        <v>16</v>
      </c>
      <c r="D59" s="97" t="s">
        <v>29</v>
      </c>
      <c r="F59" s="48"/>
    </row>
    <row r="60" spans="2:6" x14ac:dyDescent="0.35">
      <c r="B60" s="105" t="s">
        <v>91</v>
      </c>
      <c r="C60" s="96">
        <f t="shared" si="20"/>
        <v>5</v>
      </c>
      <c r="D60" s="97" t="s">
        <v>71</v>
      </c>
      <c r="F60" s="48"/>
    </row>
    <row r="61" spans="2:6" x14ac:dyDescent="0.35">
      <c r="B61" s="105">
        <v>4033</v>
      </c>
      <c r="C61" s="96">
        <f t="shared" si="20"/>
        <v>192</v>
      </c>
      <c r="D61" s="97" t="s">
        <v>72</v>
      </c>
      <c r="F61" s="48"/>
    </row>
    <row r="62" spans="2:6" x14ac:dyDescent="0.35">
      <c r="B62" s="106" t="s">
        <v>92</v>
      </c>
      <c r="C62" s="96">
        <f t="shared" ref="C62:C70" si="21">HEX2DEC(B63)-HEX2DEC(B62)</f>
        <v>48</v>
      </c>
      <c r="D62" s="97" t="s">
        <v>73</v>
      </c>
      <c r="F62" s="48"/>
    </row>
    <row r="63" spans="2:6" x14ac:dyDescent="0.35">
      <c r="B63" s="105">
        <v>4123</v>
      </c>
      <c r="C63" s="96">
        <f t="shared" si="21"/>
        <v>3712</v>
      </c>
      <c r="D63" s="97" t="s">
        <v>74</v>
      </c>
      <c r="F63" s="48"/>
    </row>
    <row r="64" spans="2:6" x14ac:dyDescent="0.35">
      <c r="B64" s="105" t="s">
        <v>93</v>
      </c>
      <c r="C64" s="96">
        <f t="shared" si="21"/>
        <v>1727</v>
      </c>
      <c r="D64" s="97" t="s">
        <v>75</v>
      </c>
      <c r="F64" s="48"/>
    </row>
    <row r="65" spans="2:6" x14ac:dyDescent="0.35">
      <c r="B65" s="105">
        <v>5662</v>
      </c>
      <c r="C65" s="96">
        <f t="shared" si="21"/>
        <v>76</v>
      </c>
      <c r="D65" s="97" t="s">
        <v>76</v>
      </c>
      <c r="F65" s="48"/>
    </row>
    <row r="66" spans="2:6" x14ac:dyDescent="0.35">
      <c r="B66" s="108" t="s">
        <v>98</v>
      </c>
      <c r="C66" s="96">
        <f t="shared" si="21"/>
        <v>2600</v>
      </c>
      <c r="D66" s="102" t="s">
        <v>83</v>
      </c>
      <c r="F66" s="48"/>
    </row>
    <row r="67" spans="2:6" x14ac:dyDescent="0.35">
      <c r="B67" s="109" t="s">
        <v>99</v>
      </c>
      <c r="C67" s="96">
        <f t="shared" si="21"/>
        <v>3205</v>
      </c>
      <c r="D67" s="97" t="s">
        <v>77</v>
      </c>
      <c r="F67" s="48"/>
    </row>
    <row r="68" spans="2:6" x14ac:dyDescent="0.35">
      <c r="B68" s="110" t="s">
        <v>100</v>
      </c>
      <c r="C68" s="103">
        <f t="shared" si="21"/>
        <v>267</v>
      </c>
      <c r="D68" s="104" t="s">
        <v>84</v>
      </c>
      <c r="E68" s="88"/>
      <c r="F68" s="79"/>
    </row>
    <row r="69" spans="2:6" x14ac:dyDescent="0.35">
      <c r="B69" s="109" t="s">
        <v>85</v>
      </c>
      <c r="C69" s="96">
        <f t="shared" si="21"/>
        <v>3226</v>
      </c>
      <c r="D69" s="97" t="s">
        <v>82</v>
      </c>
      <c r="F69" s="48"/>
    </row>
    <row r="70" spans="2:6" x14ac:dyDescent="0.35">
      <c r="B70" s="105" t="s">
        <v>78</v>
      </c>
      <c r="C70" s="96">
        <f t="shared" si="21"/>
        <v>256</v>
      </c>
      <c r="D70" s="97" t="s">
        <v>79</v>
      </c>
      <c r="F70" s="48"/>
    </row>
    <row r="71" spans="2:6" ht="15" thickBot="1" x14ac:dyDescent="0.4">
      <c r="B71" s="111" t="s">
        <v>80</v>
      </c>
      <c r="C71" s="98">
        <v>1024</v>
      </c>
      <c r="D71" s="99" t="s">
        <v>81</v>
      </c>
      <c r="E71" s="51"/>
      <c r="F71" s="52"/>
    </row>
    <row r="72" spans="2:6" x14ac:dyDescent="0.35">
      <c r="B72" s="46"/>
      <c r="C72" s="96"/>
    </row>
    <row r="73" spans="2:6" x14ac:dyDescent="0.35">
      <c r="B73" s="46"/>
    </row>
    <row r="74" spans="2:6" x14ac:dyDescent="0.35">
      <c r="B74" s="46"/>
    </row>
    <row r="75" spans="2:6" x14ac:dyDescent="0.35">
      <c r="B75" s="46"/>
    </row>
    <row r="76" spans="2:6" x14ac:dyDescent="0.35">
      <c r="B76" s="4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2025-09-15T21:24:12Z</dcterms:modified>
</cp:coreProperties>
</file>