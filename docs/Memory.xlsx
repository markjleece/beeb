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Beeb\docs\"/>
    </mc:Choice>
  </mc:AlternateContent>
  <xr:revisionPtr revIDLastSave="0" documentId="13_ncr:1_{514D7200-570F-432B-9D25-AD6ACB55E3E5}" xr6:coauthVersionLast="47" xr6:coauthVersionMax="47" xr10:uidLastSave="{00000000-0000-0000-0000-000000000000}"/>
  <bookViews>
    <workbookView xWindow="-90" yWindow="0" windowWidth="12660" windowHeight="16010" xr2:uid="{C0DF3A0D-E6A9-4F13-8EDD-5DE46AD6E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" l="1"/>
  <c r="C73" i="1"/>
  <c r="C72" i="1"/>
  <c r="C66" i="1"/>
  <c r="C67" i="1"/>
  <c r="C68" i="1"/>
  <c r="C69" i="1"/>
  <c r="C70" i="1"/>
  <c r="C71" i="1"/>
  <c r="C64" i="1"/>
  <c r="C65" i="1"/>
  <c r="C63" i="1"/>
  <c r="C62" i="1"/>
  <c r="D11" i="1"/>
  <c r="P11" i="1" s="1"/>
  <c r="F14" i="1"/>
  <c r="H14" i="1"/>
  <c r="J14" i="1"/>
  <c r="L14" i="1"/>
  <c r="N14" i="1"/>
  <c r="P14" i="1"/>
  <c r="C23" i="1"/>
  <c r="P6" i="1"/>
  <c r="N6" i="1"/>
  <c r="L6" i="1"/>
  <c r="J6" i="1"/>
  <c r="H6" i="1"/>
  <c r="F6" i="1"/>
  <c r="P5" i="1"/>
  <c r="N5" i="1"/>
  <c r="L5" i="1"/>
  <c r="J5" i="1"/>
  <c r="H5" i="1"/>
  <c r="F5" i="1"/>
  <c r="D7" i="1"/>
  <c r="P7" i="1" s="1"/>
  <c r="P13" i="1"/>
  <c r="N13" i="1"/>
  <c r="L13" i="1"/>
  <c r="J13" i="1"/>
  <c r="H13" i="1"/>
  <c r="F13" i="1"/>
  <c r="C54" i="1"/>
  <c r="N12" i="1"/>
  <c r="C57" i="1"/>
  <c r="B57" i="1" s="1"/>
  <c r="B56" i="1" s="1"/>
  <c r="B55" i="1" s="1"/>
  <c r="B54" i="1" s="1"/>
  <c r="B53" i="1" s="1"/>
  <c r="B52" i="1" s="1"/>
  <c r="B51" i="1" s="1"/>
  <c r="D10" i="1"/>
  <c r="P10" i="1" s="1"/>
  <c r="D8" i="1"/>
  <c r="F8" i="1" s="1"/>
  <c r="D9" i="1"/>
  <c r="P9" i="1" s="1"/>
  <c r="F11" i="1" l="1"/>
  <c r="H11" i="1"/>
  <c r="N11" i="1"/>
  <c r="J11" i="1"/>
  <c r="L11" i="1"/>
  <c r="H8" i="1"/>
  <c r="L8" i="1"/>
  <c r="N8" i="1"/>
  <c r="C36" i="1"/>
  <c r="F7" i="1"/>
  <c r="H7" i="1"/>
  <c r="J7" i="1"/>
  <c r="L7" i="1"/>
  <c r="N7" i="1"/>
  <c r="B24" i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C27" i="1"/>
  <c r="F12" i="1"/>
  <c r="F9" i="1"/>
  <c r="J12" i="1"/>
  <c r="H12" i="1"/>
  <c r="P12" i="1"/>
  <c r="L12" i="1"/>
  <c r="H9" i="1"/>
  <c r="F10" i="1"/>
  <c r="N10" i="1"/>
  <c r="N9" i="1"/>
  <c r="L9" i="1"/>
  <c r="L10" i="1"/>
  <c r="H10" i="1"/>
  <c r="J9" i="1"/>
  <c r="J10" i="1"/>
  <c r="J8" i="1"/>
  <c r="P8" i="1"/>
  <c r="N15" i="1" l="1"/>
  <c r="N17" i="1" s="1"/>
  <c r="H15" i="1"/>
  <c r="H17" i="1" s="1"/>
  <c r="P15" i="1"/>
  <c r="P2" i="1" s="1"/>
  <c r="L15" i="1"/>
  <c r="L17" i="1" s="1"/>
  <c r="J15" i="1"/>
  <c r="J17" i="1" s="1"/>
  <c r="F15" i="1"/>
  <c r="F17" i="1" s="1"/>
  <c r="C50" i="1" l="1"/>
</calcChain>
</file>

<file path=xl/sharedStrings.xml><?xml version="1.0" encoding="utf-8"?>
<sst xmlns="http://schemas.openxmlformats.org/spreadsheetml/2006/main" count="128" uniqueCount="101">
  <si>
    <t>Quantity</t>
  </si>
  <si>
    <t>Usage</t>
  </si>
  <si>
    <t>Size</t>
  </si>
  <si>
    <t>Unused</t>
  </si>
  <si>
    <t>Data</t>
  </si>
  <si>
    <t>stack size:</t>
  </si>
  <si>
    <t>@</t>
  </si>
  <si>
    <t>Address</t>
  </si>
  <si>
    <t>Desc</t>
  </si>
  <si>
    <t>MOS general workspace</t>
  </si>
  <si>
    <t>Program code</t>
  </si>
  <si>
    <t>tile types</t>
  </si>
  <si>
    <t>@ 400 - 800</t>
  </si>
  <si>
    <t>@ 300 - 3E0</t>
  </si>
  <si>
    <t>@ 900 - D00</t>
  </si>
  <si>
    <t>@ E00 - 1000</t>
  </si>
  <si>
    <t>Memory</t>
  </si>
  <si>
    <t>5 enemy sprites</t>
  </si>
  <si>
    <t>2 enemy sprites</t>
  </si>
  <si>
    <t>screen memory</t>
  </si>
  <si>
    <t>Size (bytes)</t>
  </si>
  <si>
    <t>DFS workspace</t>
  </si>
  <si>
    <t>@ 100 - 1C0</t>
  </si>
  <si>
    <t>reloaded</t>
  </si>
  <si>
    <t>1 enemy sprite</t>
  </si>
  <si>
    <t>1 door sprite</t>
  </si>
  <si>
    <t>2 door sprites</t>
  </si>
  <si>
    <t>MOS workspace</t>
  </si>
  <si>
    <t>Gamebar sprites</t>
  </si>
  <si>
    <t>Level palette</t>
  </si>
  <si>
    <t>Level tile grid</t>
  </si>
  <si>
    <t>Program stack</t>
  </si>
  <si>
    <t>sound effects</t>
  </si>
  <si>
    <t>game object arrays</t>
  </si>
  <si>
    <t>door sprite</t>
  </si>
  <si>
    <t>enemy sprite</t>
  </si>
  <si>
    <t>k9 sprite</t>
  </si>
  <si>
    <t>gamebar sprite</t>
  </si>
  <si>
    <t>enemy health bar atlas</t>
  </si>
  <si>
    <t>Repurposed memory</t>
  </si>
  <si>
    <t>&amp;D02</t>
  </si>
  <si>
    <t>&amp;D20</t>
  </si>
  <si>
    <t>NMI workspace (&amp;0D00-&amp;0D5F)</t>
  </si>
  <si>
    <t>MOS printer buffer (&amp;0880-&amp;08BF)</t>
  </si>
  <si>
    <t>&amp;880</t>
  </si>
  <si>
    <t>sprite health bar table</t>
  </si>
  <si>
    <t>&amp;1090</t>
  </si>
  <si>
    <t>&amp;10E0</t>
  </si>
  <si>
    <t>DFS workspace (&amp;1090-&amp;10BF)</t>
  </si>
  <si>
    <t>DFS workspace (&amp;10E0-&amp;10FF)</t>
  </si>
  <si>
    <t>Other Data</t>
  </si>
  <si>
    <t>game object order</t>
  </si>
  <si>
    <t>10 game objects array</t>
  </si>
  <si>
    <t>Game object order array</t>
  </si>
  <si>
    <t>1 K9 sprites</t>
  </si>
  <si>
    <t>MOS ROM workspace</t>
  </si>
  <si>
    <t>1 K9 sprite</t>
  </si>
  <si>
    <t>Sound effects</t>
  </si>
  <si>
    <t>9 K9 sprites</t>
  </si>
  <si>
    <t>elevator sprite</t>
  </si>
  <si>
    <t>4 elevator sprites</t>
  </si>
  <si>
    <t>drawObject jump tables</t>
  </si>
  <si>
    <t>&amp;10EB</t>
  </si>
  <si>
    <t>Sprite health bar table</t>
  </si>
  <si>
    <t>Enemy health bar atlas (NMI memory)</t>
  </si>
  <si>
    <t>Tile types (keyboard buffer)</t>
  </si>
  <si>
    <t>Draw object jump tables</t>
  </si>
  <si>
    <t>29 level tiles</t>
  </si>
  <si>
    <t>Black palette</t>
  </si>
  <si>
    <t>black palette</t>
  </si>
  <si>
    <t>zero-page game variables</t>
  </si>
  <si>
    <t>zero-page MOS variables</t>
  </si>
  <si>
    <t>tile &amp; sprite address table (high-byte)</t>
  </si>
  <si>
    <t>tile &amp; sprite address table (low-byte)</t>
  </si>
  <si>
    <t>teleport sprite</t>
  </si>
  <si>
    <t>4 teleport sprites</t>
  </si>
  <si>
    <t>Tile &amp; sprite low addr tbls (printer buffer)</t>
  </si>
  <si>
    <t>Tile &amp; sprite high addr tbls (NMI workspace)</t>
  </si>
  <si>
    <t>Level extents</t>
  </si>
  <si>
    <t>Level tile types</t>
  </si>
  <si>
    <t>401E</t>
  </si>
  <si>
    <t>Level settings</t>
  </si>
  <si>
    <t>Level object descriptors (48)</t>
  </si>
  <si>
    <t>Level switch pairings</t>
  </si>
  <si>
    <t>Level sprite data</t>
  </si>
  <si>
    <t>Level initialization code</t>
  </si>
  <si>
    <t>Mode 7 routines</t>
  </si>
  <si>
    <t>Music data and code</t>
  </si>
  <si>
    <t>7B00</t>
  </si>
  <si>
    <t>DFS command page backup</t>
  </si>
  <si>
    <t>7C00</t>
  </si>
  <si>
    <t>Mode 7 screen</t>
  </si>
  <si>
    <t>PCM load buffer</t>
  </si>
  <si>
    <t>Titles, interstitial, or finale</t>
  </si>
  <si>
    <t>40E3</t>
  </si>
  <si>
    <t>Unused memory</t>
  </si>
  <si>
    <t>4113</t>
  </si>
  <si>
    <t>4F93</t>
  </si>
  <si>
    <t>56C4</t>
  </si>
  <si>
    <t>6DA3</t>
  </si>
  <si>
    <t>6DF3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</si>
</sst>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7" xfId="0" applyBorder="1"/>
    <xf numFmtId="0" fontId="1" fillId="0" borderId="12" xfId="0" applyFont="1" applyBorder="1"/>
    <xf numFmtId="3" fontId="0" fillId="0" borderId="0" xfId="0" applyNumberFormat="1"/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7" xfId="0" applyFont="1" applyBorder="1"/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25" xfId="0" applyBorder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0" fillId="0" borderId="21" xfId="0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27" xfId="0" applyBorder="1"/>
    <xf numFmtId="0" fontId="0" fillId="0" borderId="28" xfId="0" applyBorder="1"/>
    <xf numFmtId="0" fontId="1" fillId="0" borderId="0" xfId="0" applyFont="1"/>
    <xf numFmtId="0" fontId="0" fillId="0" borderId="4" xfId="0" applyBorder="1"/>
    <xf numFmtId="0" fontId="1" fillId="0" borderId="4" xfId="0" applyFont="1" applyBorder="1" applyAlignment="1">
      <alignment horizontal="center"/>
    </xf>
    <xf numFmtId="0" fontId="0" fillId="0" borderId="6" xfId="0" applyBorder="1"/>
    <xf numFmtId="0" fontId="1" fillId="0" borderId="26" xfId="0" applyFont="1" applyBorder="1"/>
    <xf numFmtId="0" fontId="1" fillId="0" borderId="27" xfId="0" applyFont="1" applyBorder="1"/>
    <xf numFmtId="0" fontId="1" fillId="0" borderId="27" xfId="0" applyFont="1" applyBorder="1" applyAlignment="1">
      <alignment horizontal="center"/>
    </xf>
    <xf numFmtId="0" fontId="0" fillId="0" borderId="29" xfId="0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4" xfId="0" quotePrefix="1" applyBorder="1"/>
    <xf numFmtId="0" fontId="0" fillId="0" borderId="24" xfId="0" applyBorder="1"/>
    <xf numFmtId="0" fontId="0" fillId="0" borderId="9" xfId="0" applyBorder="1"/>
    <xf numFmtId="0" fontId="1" fillId="0" borderId="30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/>
    <xf numFmtId="0" fontId="0" fillId="0" borderId="10" xfId="0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4" xfId="0" applyFill="1" applyBorder="1" applyAlignment="1">
      <alignment horizontal="center"/>
    </xf>
    <xf numFmtId="0" fontId="0" fillId="2" borderId="24" xfId="0" applyFill="1" applyBorder="1"/>
    <xf numFmtId="0" fontId="0" fillId="2" borderId="9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0" borderId="1" xfId="0" applyBorder="1"/>
    <xf numFmtId="0" fontId="0" fillId="0" borderId="11" xfId="0" applyBorder="1"/>
    <xf numFmtId="0" fontId="0" fillId="3" borderId="7" xfId="0" applyFill="1" applyBorder="1" applyAlignment="1">
      <alignment horizontal="left"/>
    </xf>
    <xf numFmtId="0" fontId="0" fillId="3" borderId="8" xfId="0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quotePrefix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34" xfId="0" applyBorder="1"/>
    <xf numFmtId="0" fontId="0" fillId="0" borderId="35" xfId="0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5" xfId="0" quotePrefix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322F-64B0-476A-AEFE-F468CB566666}">
  <sheetPr codeName="Sheet1"/>
  <dimension ref="B1:R101"/>
  <sheetViews>
    <sheetView tabSelected="1" topLeftCell="A42" workbookViewId="0">
      <selection activeCell="E69" sqref="E69"/>
    </sheetView>
  </sheetViews>
  <sheetFormatPr defaultRowHeight="14.5" x14ac:dyDescent="0.35"/>
  <cols>
    <col min="1" max="1" width="2.81640625" customWidth="1"/>
    <col min="2" max="2" width="18.1796875" customWidth="1"/>
    <col min="3" max="16" width="11.6328125" customWidth="1"/>
  </cols>
  <sheetData>
    <row r="1" spans="2:18" ht="15" thickBot="1" x14ac:dyDescent="0.4"/>
    <row r="2" spans="2:18" x14ac:dyDescent="0.35">
      <c r="B2" s="114" t="s">
        <v>4</v>
      </c>
      <c r="C2" s="116" t="s">
        <v>0</v>
      </c>
      <c r="D2" s="111" t="s">
        <v>2</v>
      </c>
      <c r="E2" s="110" t="s">
        <v>22</v>
      </c>
      <c r="F2" s="113"/>
      <c r="G2" s="110" t="s">
        <v>13</v>
      </c>
      <c r="H2" s="111"/>
      <c r="I2" s="112" t="s">
        <v>12</v>
      </c>
      <c r="J2" s="113"/>
      <c r="K2" s="110" t="s">
        <v>14</v>
      </c>
      <c r="L2" s="111"/>
      <c r="M2" s="112" t="s">
        <v>15</v>
      </c>
      <c r="N2" s="113"/>
      <c r="O2" s="43" t="s">
        <v>6</v>
      </c>
      <c r="P2" s="14" t="str">
        <f>DEC2HEX(HEX2DEC(3130)-P15)</f>
        <v>2C30</v>
      </c>
      <c r="R2" s="15"/>
    </row>
    <row r="3" spans="2:18" x14ac:dyDescent="0.35">
      <c r="B3" s="115"/>
      <c r="C3" s="117"/>
      <c r="D3" s="118"/>
      <c r="E3" s="117" t="s">
        <v>23</v>
      </c>
      <c r="F3" s="119"/>
      <c r="G3" s="117" t="s">
        <v>23</v>
      </c>
      <c r="H3" s="118"/>
      <c r="I3" s="41"/>
      <c r="J3" s="40"/>
      <c r="K3" s="117" t="s">
        <v>23</v>
      </c>
      <c r="L3" s="118"/>
      <c r="M3" s="119" t="s">
        <v>23</v>
      </c>
      <c r="N3" s="119"/>
      <c r="O3" s="42"/>
      <c r="P3" s="24"/>
      <c r="R3" s="15"/>
    </row>
    <row r="4" spans="2:18" x14ac:dyDescent="0.35">
      <c r="B4" s="115"/>
      <c r="C4" s="117"/>
      <c r="D4" s="118"/>
      <c r="E4" s="21" t="s">
        <v>0</v>
      </c>
      <c r="F4" s="22" t="s">
        <v>1</v>
      </c>
      <c r="G4" s="26" t="s">
        <v>0</v>
      </c>
      <c r="H4" s="27" t="s">
        <v>1</v>
      </c>
      <c r="I4" s="22" t="s">
        <v>0</v>
      </c>
      <c r="J4" s="22" t="s">
        <v>1</v>
      </c>
      <c r="K4" s="21" t="s">
        <v>0</v>
      </c>
      <c r="L4" s="25" t="s">
        <v>1</v>
      </c>
      <c r="M4" s="22" t="s">
        <v>0</v>
      </c>
      <c r="N4" s="22" t="s">
        <v>1</v>
      </c>
      <c r="O4" s="21" t="s">
        <v>0</v>
      </c>
      <c r="P4" s="23" t="s">
        <v>1</v>
      </c>
    </row>
    <row r="5" spans="2:18" x14ac:dyDescent="0.35">
      <c r="B5" s="36" t="s">
        <v>33</v>
      </c>
      <c r="C5" s="9">
        <v>10</v>
      </c>
      <c r="D5" s="32">
        <v>48</v>
      </c>
      <c r="E5" s="31">
        <v>0</v>
      </c>
      <c r="F5" s="31">
        <f>E5*$D5</f>
        <v>0</v>
      </c>
      <c r="G5" s="35">
        <v>0</v>
      </c>
      <c r="H5" s="32">
        <f>G5*$D5</f>
        <v>0</v>
      </c>
      <c r="I5" s="31">
        <v>10</v>
      </c>
      <c r="J5" s="31">
        <f>I5*$D5</f>
        <v>480</v>
      </c>
      <c r="K5" s="35">
        <v>0</v>
      </c>
      <c r="L5" s="32">
        <f>K5*$D5</f>
        <v>0</v>
      </c>
      <c r="M5" s="31">
        <v>0</v>
      </c>
      <c r="N5" s="31">
        <f>M5*$D5</f>
        <v>0</v>
      </c>
      <c r="O5" s="35">
        <v>0</v>
      </c>
      <c r="P5" s="37">
        <f>O5*$D5</f>
        <v>0</v>
      </c>
    </row>
    <row r="6" spans="2:18" x14ac:dyDescent="0.35">
      <c r="B6" s="1" t="s">
        <v>51</v>
      </c>
      <c r="C6" s="19">
        <v>1</v>
      </c>
      <c r="D6" s="5">
        <v>48</v>
      </c>
      <c r="E6" s="30">
        <v>0</v>
      </c>
      <c r="F6" s="30">
        <f>E6*$D6</f>
        <v>0</v>
      </c>
      <c r="G6" s="4">
        <v>0</v>
      </c>
      <c r="H6" s="5">
        <f>G6*$D6</f>
        <v>0</v>
      </c>
      <c r="I6" s="30">
        <v>1</v>
      </c>
      <c r="J6" s="30">
        <f>I6*$D6</f>
        <v>48</v>
      </c>
      <c r="K6" s="4">
        <v>0</v>
      </c>
      <c r="L6" s="5">
        <f>K6*$D6</f>
        <v>0</v>
      </c>
      <c r="M6" s="30">
        <v>0</v>
      </c>
      <c r="N6" s="30">
        <f>M6*$D6</f>
        <v>0</v>
      </c>
      <c r="O6" s="4">
        <v>0</v>
      </c>
      <c r="P6" s="6">
        <f>O6*$D6</f>
        <v>0</v>
      </c>
    </row>
    <row r="7" spans="2:18" x14ac:dyDescent="0.35">
      <c r="B7" s="1" t="s">
        <v>35</v>
      </c>
      <c r="C7" s="19">
        <v>11</v>
      </c>
      <c r="D7" s="5">
        <f>(24*32/4)</f>
        <v>192</v>
      </c>
      <c r="E7" s="30">
        <v>1</v>
      </c>
      <c r="F7" s="30">
        <f t="shared" ref="F7" si="0">E7*$D7</f>
        <v>192</v>
      </c>
      <c r="G7" s="4">
        <v>1</v>
      </c>
      <c r="H7" s="5">
        <f t="shared" ref="H7:H8" si="1">G7*$D7</f>
        <v>192</v>
      </c>
      <c r="I7" s="30">
        <v>2</v>
      </c>
      <c r="J7" s="30">
        <f t="shared" ref="J7" si="2">I7*$D7</f>
        <v>384</v>
      </c>
      <c r="K7" s="4">
        <v>5</v>
      </c>
      <c r="L7" s="5">
        <f t="shared" ref="L7:L8" si="3">K7*$D7</f>
        <v>960</v>
      </c>
      <c r="M7" s="30">
        <v>2</v>
      </c>
      <c r="N7" s="30">
        <f t="shared" ref="N7" si="4">M7*$D7</f>
        <v>384</v>
      </c>
      <c r="O7" s="4">
        <v>0</v>
      </c>
      <c r="P7" s="6">
        <f t="shared" ref="P7" si="5">O7*$D7</f>
        <v>0</v>
      </c>
    </row>
    <row r="8" spans="2:18" x14ac:dyDescent="0.35">
      <c r="B8" s="1" t="s">
        <v>34</v>
      </c>
      <c r="C8" s="19">
        <v>4</v>
      </c>
      <c r="D8" s="5">
        <f>32*4/4</f>
        <v>32</v>
      </c>
      <c r="E8" s="30">
        <v>0</v>
      </c>
      <c r="F8" s="30">
        <f t="shared" ref="F8:F12" si="6">E8*$D8</f>
        <v>0</v>
      </c>
      <c r="G8" s="4">
        <v>1</v>
      </c>
      <c r="H8" s="5">
        <f t="shared" si="1"/>
        <v>32</v>
      </c>
      <c r="I8" s="30">
        <v>0</v>
      </c>
      <c r="J8" s="30">
        <f t="shared" ref="J8:J12" si="7">I8*$D8</f>
        <v>0</v>
      </c>
      <c r="K8" s="4">
        <v>2</v>
      </c>
      <c r="L8" s="5">
        <f t="shared" si="3"/>
        <v>64</v>
      </c>
      <c r="M8" s="30">
        <v>1</v>
      </c>
      <c r="N8" s="30">
        <f t="shared" ref="N8:N12" si="8">M8*$D8</f>
        <v>32</v>
      </c>
      <c r="O8" s="4">
        <v>0</v>
      </c>
      <c r="P8" s="6">
        <f t="shared" ref="P8:P12" si="9">O8*$D8</f>
        <v>0</v>
      </c>
    </row>
    <row r="9" spans="2:18" x14ac:dyDescent="0.35">
      <c r="B9" s="1" t="s">
        <v>36</v>
      </c>
      <c r="C9" s="19">
        <v>11</v>
      </c>
      <c r="D9" s="5">
        <f>(24*16/4)</f>
        <v>96</v>
      </c>
      <c r="E9" s="30">
        <v>0</v>
      </c>
      <c r="F9" s="30">
        <f t="shared" si="6"/>
        <v>0</v>
      </c>
      <c r="G9" s="4">
        <v>0</v>
      </c>
      <c r="H9" s="5">
        <f t="shared" ref="H9:H12" si="10">G9*$D9</f>
        <v>0</v>
      </c>
      <c r="I9" s="30">
        <v>1</v>
      </c>
      <c r="J9" s="30">
        <f t="shared" si="7"/>
        <v>96</v>
      </c>
      <c r="K9" s="4">
        <v>0</v>
      </c>
      <c r="L9" s="5">
        <f t="shared" ref="L9:L12" si="11">K9*$D9</f>
        <v>0</v>
      </c>
      <c r="M9" s="30">
        <v>1</v>
      </c>
      <c r="N9" s="30">
        <f t="shared" si="8"/>
        <v>96</v>
      </c>
      <c r="O9" s="4">
        <v>9</v>
      </c>
      <c r="P9" s="6">
        <f t="shared" si="9"/>
        <v>864</v>
      </c>
    </row>
    <row r="10" spans="2:18" x14ac:dyDescent="0.35">
      <c r="B10" s="1" t="s">
        <v>59</v>
      </c>
      <c r="C10" s="19">
        <v>4</v>
      </c>
      <c r="D10" s="5">
        <f>32*3/4</f>
        <v>24</v>
      </c>
      <c r="E10" s="30">
        <v>0</v>
      </c>
      <c r="F10" s="30">
        <f>E10*$D10</f>
        <v>0</v>
      </c>
      <c r="G10" s="4">
        <v>0</v>
      </c>
      <c r="H10" s="5">
        <f>G10*$D10</f>
        <v>0</v>
      </c>
      <c r="I10" s="30">
        <v>0</v>
      </c>
      <c r="J10" s="30">
        <f>I10*$D10</f>
        <v>0</v>
      </c>
      <c r="K10" s="4">
        <v>0</v>
      </c>
      <c r="L10" s="5">
        <f>K10*$D10</f>
        <v>0</v>
      </c>
      <c r="M10" s="30">
        <v>0</v>
      </c>
      <c r="N10" s="30">
        <f>M10*$D10</f>
        <v>0</v>
      </c>
      <c r="O10" s="4">
        <v>4</v>
      </c>
      <c r="P10" s="6">
        <f>O10*$D10</f>
        <v>96</v>
      </c>
    </row>
    <row r="11" spans="2:18" x14ac:dyDescent="0.35">
      <c r="B11" s="1" t="s">
        <v>74</v>
      </c>
      <c r="C11" s="19">
        <v>4</v>
      </c>
      <c r="D11" s="5">
        <f>32*3/4</f>
        <v>24</v>
      </c>
      <c r="E11" s="30">
        <v>0</v>
      </c>
      <c r="F11" s="30">
        <f>E11*$D11</f>
        <v>0</v>
      </c>
      <c r="G11" s="4">
        <v>0</v>
      </c>
      <c r="H11" s="5">
        <f>G11*$D11</f>
        <v>0</v>
      </c>
      <c r="I11" s="30">
        <v>0</v>
      </c>
      <c r="J11" s="30">
        <f>I11*$D11</f>
        <v>0</v>
      </c>
      <c r="K11" s="4">
        <v>0</v>
      </c>
      <c r="L11" s="5">
        <f>K11*$D11</f>
        <v>0</v>
      </c>
      <c r="M11" s="30">
        <v>0</v>
      </c>
      <c r="N11" s="30">
        <f>M11*$D11</f>
        <v>0</v>
      </c>
      <c r="O11" s="4">
        <v>4</v>
      </c>
      <c r="P11" s="6">
        <f>O11*$D11</f>
        <v>96</v>
      </c>
    </row>
    <row r="12" spans="2:18" x14ac:dyDescent="0.35">
      <c r="B12" s="1" t="s">
        <v>37</v>
      </c>
      <c r="C12" s="19">
        <v>1</v>
      </c>
      <c r="D12" s="5">
        <v>224</v>
      </c>
      <c r="E12" s="30">
        <v>0</v>
      </c>
      <c r="F12" s="30">
        <f t="shared" si="6"/>
        <v>0</v>
      </c>
      <c r="G12" s="4">
        <v>0</v>
      </c>
      <c r="H12" s="5">
        <f t="shared" si="10"/>
        <v>0</v>
      </c>
      <c r="I12" s="30">
        <v>0</v>
      </c>
      <c r="J12" s="30">
        <f t="shared" si="7"/>
        <v>0</v>
      </c>
      <c r="K12" s="4">
        <v>0</v>
      </c>
      <c r="L12" s="5">
        <f t="shared" si="11"/>
        <v>0</v>
      </c>
      <c r="M12" s="30">
        <v>0</v>
      </c>
      <c r="N12" s="30">
        <f t="shared" si="8"/>
        <v>0</v>
      </c>
      <c r="O12" s="4">
        <v>1</v>
      </c>
      <c r="P12" s="6">
        <f t="shared" si="9"/>
        <v>224</v>
      </c>
    </row>
    <row r="13" spans="2:18" x14ac:dyDescent="0.35">
      <c r="B13" s="1" t="s">
        <v>11</v>
      </c>
      <c r="C13" s="19">
        <v>1</v>
      </c>
      <c r="D13" s="5">
        <v>32</v>
      </c>
      <c r="E13" s="30">
        <v>0</v>
      </c>
      <c r="F13" s="30">
        <f>E13*$D13</f>
        <v>0</v>
      </c>
      <c r="G13" s="4">
        <v>1</v>
      </c>
      <c r="H13" s="5">
        <f>G13*$D13</f>
        <v>32</v>
      </c>
      <c r="I13" s="30">
        <v>0</v>
      </c>
      <c r="J13" s="30">
        <f>I13*$D13</f>
        <v>0</v>
      </c>
      <c r="K13" s="4">
        <v>0</v>
      </c>
      <c r="L13" s="5">
        <f>K13*$D13</f>
        <v>0</v>
      </c>
      <c r="M13" s="30">
        <v>0</v>
      </c>
      <c r="N13" s="30">
        <f>M13*$D13</f>
        <v>0</v>
      </c>
      <c r="O13" s="4">
        <v>0</v>
      </c>
      <c r="P13" s="6">
        <f>O13*$D13</f>
        <v>0</v>
      </c>
    </row>
    <row r="14" spans="2:18" x14ac:dyDescent="0.35">
      <c r="B14" s="38" t="s">
        <v>69</v>
      </c>
      <c r="C14" s="34">
        <v>1</v>
      </c>
      <c r="D14" s="8">
        <v>16</v>
      </c>
      <c r="E14" s="33">
        <v>0</v>
      </c>
      <c r="F14" s="33">
        <f t="shared" ref="F14" si="12">E14*$D14</f>
        <v>0</v>
      </c>
      <c r="G14" s="7">
        <v>0</v>
      </c>
      <c r="H14" s="8">
        <f t="shared" ref="H14" si="13">G14*$D14</f>
        <v>0</v>
      </c>
      <c r="I14" s="33">
        <v>1</v>
      </c>
      <c r="J14" s="33">
        <f>I14*$D14</f>
        <v>16</v>
      </c>
      <c r="K14" s="7">
        <v>0</v>
      </c>
      <c r="L14" s="8">
        <f t="shared" ref="L14" si="14">K14*$D14</f>
        <v>0</v>
      </c>
      <c r="M14" s="33">
        <v>0</v>
      </c>
      <c r="N14" s="33">
        <f t="shared" ref="N14" si="15">M14*$D14</f>
        <v>0</v>
      </c>
      <c r="O14" s="7">
        <v>0</v>
      </c>
      <c r="P14" s="39">
        <f t="shared" ref="P14" si="16">O14*$D14</f>
        <v>0</v>
      </c>
    </row>
    <row r="15" spans="2:18" x14ac:dyDescent="0.35">
      <c r="B15" s="18" t="s">
        <v>1</v>
      </c>
      <c r="C15" s="19"/>
      <c r="D15" s="20"/>
      <c r="E15" s="28"/>
      <c r="F15" s="28">
        <f>SUM(F5:F14)</f>
        <v>192</v>
      </c>
      <c r="G15" s="19"/>
      <c r="H15" s="20">
        <f>SUM(H5:H14)</f>
        <v>256</v>
      </c>
      <c r="I15" s="28"/>
      <c r="J15" s="28">
        <f>SUM(J5:J14)</f>
        <v>1024</v>
      </c>
      <c r="K15" s="19"/>
      <c r="L15" s="20">
        <f>SUM(L5:L14)</f>
        <v>1024</v>
      </c>
      <c r="M15" s="28"/>
      <c r="N15" s="28">
        <f>SUM(N5:N14)</f>
        <v>512</v>
      </c>
      <c r="O15" s="19"/>
      <c r="P15" s="29">
        <f>SUM(P5:P14)</f>
        <v>1280</v>
      </c>
    </row>
    <row r="16" spans="2:18" x14ac:dyDescent="0.35">
      <c r="B16" s="18" t="s">
        <v>16</v>
      </c>
      <c r="C16" s="19"/>
      <c r="D16" s="20"/>
      <c r="E16" s="28"/>
      <c r="F16" s="30">
        <v>192</v>
      </c>
      <c r="G16" s="4"/>
      <c r="H16" s="5">
        <v>256</v>
      </c>
      <c r="I16" s="30"/>
      <c r="J16" s="30">
        <v>1024</v>
      </c>
      <c r="K16" s="4"/>
      <c r="L16" s="5">
        <v>1024</v>
      </c>
      <c r="M16" s="30"/>
      <c r="N16" s="30">
        <v>512</v>
      </c>
      <c r="O16" s="4"/>
      <c r="P16" s="6"/>
    </row>
    <row r="17" spans="2:16" ht="15" thickBot="1" x14ac:dyDescent="0.4">
      <c r="B17" s="2" t="s">
        <v>3</v>
      </c>
      <c r="C17" s="10"/>
      <c r="D17" s="11"/>
      <c r="E17" s="16" t="s">
        <v>5</v>
      </c>
      <c r="F17" s="16">
        <f>256-F15</f>
        <v>64</v>
      </c>
      <c r="G17" s="10"/>
      <c r="H17" s="44">
        <f>H16-H15</f>
        <v>0</v>
      </c>
      <c r="I17" s="12"/>
      <c r="J17" s="16">
        <f>J16-J15</f>
        <v>0</v>
      </c>
      <c r="K17" s="10"/>
      <c r="L17" s="44">
        <f>L16-L15</f>
        <v>0</v>
      </c>
      <c r="M17" s="12"/>
      <c r="N17" s="16">
        <f>N16-N15</f>
        <v>0</v>
      </c>
      <c r="O17" s="10"/>
      <c r="P17" s="13"/>
    </row>
    <row r="18" spans="2:16" x14ac:dyDescent="0.35">
      <c r="P18" s="3"/>
    </row>
    <row r="19" spans="2:16" ht="15" thickBot="1" x14ac:dyDescent="0.4">
      <c r="P19" s="3"/>
    </row>
    <row r="20" spans="2:16" ht="15" thickBot="1" x14ac:dyDescent="0.4">
      <c r="B20" s="63" t="s">
        <v>7</v>
      </c>
      <c r="C20" s="57" t="s">
        <v>20</v>
      </c>
      <c r="D20" s="64" t="s">
        <v>8</v>
      </c>
      <c r="E20" s="56"/>
      <c r="F20" s="58"/>
      <c r="H20" s="59" t="s">
        <v>50</v>
      </c>
      <c r="I20" s="53"/>
      <c r="J20" s="53"/>
      <c r="K20" s="60" t="s">
        <v>7</v>
      </c>
      <c r="L20" s="61" t="s">
        <v>2</v>
      </c>
      <c r="M20" s="60" t="s">
        <v>39</v>
      </c>
      <c r="N20" s="53"/>
      <c r="O20" s="54"/>
    </row>
    <row r="21" spans="2:16" x14ac:dyDescent="0.35">
      <c r="B21" s="62">
        <v>0</v>
      </c>
      <c r="C21" s="65">
        <v>144</v>
      </c>
      <c r="D21" s="56" t="s">
        <v>70</v>
      </c>
      <c r="E21" s="56"/>
      <c r="F21" s="58"/>
      <c r="H21" s="47" t="s">
        <v>38</v>
      </c>
      <c r="I21" s="17"/>
      <c r="K21" t="s">
        <v>40</v>
      </c>
      <c r="L21" s="30">
        <v>30</v>
      </c>
      <c r="M21" t="s">
        <v>42</v>
      </c>
      <c r="O21" s="48"/>
    </row>
    <row r="22" spans="2:16" x14ac:dyDescent="0.35">
      <c r="B22" s="82">
        <v>90</v>
      </c>
      <c r="C22" s="84">
        <v>112</v>
      </c>
      <c r="D22" s="85" t="s">
        <v>71</v>
      </c>
      <c r="E22" s="85"/>
      <c r="F22" s="83"/>
      <c r="H22" s="47" t="s">
        <v>72</v>
      </c>
      <c r="I22" s="17"/>
      <c r="K22" t="s">
        <v>41</v>
      </c>
      <c r="L22" s="30">
        <v>64</v>
      </c>
      <c r="M22" t="s">
        <v>42</v>
      </c>
      <c r="O22" s="48"/>
    </row>
    <row r="23" spans="2:16" x14ac:dyDescent="0.35">
      <c r="B23" s="73">
        <v>100</v>
      </c>
      <c r="C23" s="31">
        <f>(24*32/4)</f>
        <v>192</v>
      </c>
      <c r="D23" s="80" t="s">
        <v>24</v>
      </c>
      <c r="E23" s="80"/>
      <c r="F23" s="81"/>
      <c r="H23" s="47" t="s">
        <v>73</v>
      </c>
      <c r="I23" s="17"/>
      <c r="K23" t="s">
        <v>44</v>
      </c>
      <c r="L23" s="30">
        <v>64</v>
      </c>
      <c r="M23" t="s">
        <v>43</v>
      </c>
      <c r="O23" s="48"/>
    </row>
    <row r="24" spans="2:16" x14ac:dyDescent="0.35">
      <c r="B24" s="66" t="str">
        <f t="shared" ref="B24:B50" si="17">DEC2HEX(HEX2DEC(B23)+C23)</f>
        <v>1C0</v>
      </c>
      <c r="C24" s="33">
        <v>64</v>
      </c>
      <c r="D24" s="67" t="s">
        <v>31</v>
      </c>
      <c r="E24" s="68"/>
      <c r="F24" s="69"/>
      <c r="H24" s="47" t="s">
        <v>32</v>
      </c>
      <c r="I24" s="17"/>
      <c r="K24" t="s">
        <v>46</v>
      </c>
      <c r="L24" s="30">
        <v>44</v>
      </c>
      <c r="M24" t="s">
        <v>48</v>
      </c>
      <c r="O24" s="48"/>
    </row>
    <row r="25" spans="2:16" x14ac:dyDescent="0.35">
      <c r="B25" s="74" t="str">
        <f t="shared" si="17"/>
        <v>200</v>
      </c>
      <c r="C25" s="75">
        <v>256</v>
      </c>
      <c r="D25" s="76" t="s">
        <v>9</v>
      </c>
      <c r="E25" s="76"/>
      <c r="F25" s="77"/>
      <c r="H25" s="47" t="s">
        <v>45</v>
      </c>
      <c r="I25" s="17"/>
      <c r="K25" t="s">
        <v>47</v>
      </c>
      <c r="L25" s="30">
        <v>12</v>
      </c>
      <c r="M25" t="s">
        <v>49</v>
      </c>
      <c r="O25" s="48"/>
    </row>
    <row r="26" spans="2:16" ht="15" thickBot="1" x14ac:dyDescent="0.4">
      <c r="B26" s="47" t="str">
        <f t="shared" si="17"/>
        <v>300</v>
      </c>
      <c r="C26" s="30">
        <v>192</v>
      </c>
      <c r="D26" t="s">
        <v>24</v>
      </c>
      <c r="F26" s="48"/>
      <c r="H26" s="49" t="s">
        <v>61</v>
      </c>
      <c r="I26" s="50"/>
      <c r="J26" s="51"/>
      <c r="K26" s="50" t="s">
        <v>62</v>
      </c>
      <c r="L26" s="16">
        <v>20</v>
      </c>
      <c r="M26" s="51" t="s">
        <v>49</v>
      </c>
      <c r="N26" s="51"/>
      <c r="O26" s="52"/>
    </row>
    <row r="27" spans="2:16" x14ac:dyDescent="0.35">
      <c r="B27" s="47" t="str">
        <f t="shared" si="17"/>
        <v>3C0</v>
      </c>
      <c r="C27" s="30">
        <f>$D$8</f>
        <v>32</v>
      </c>
      <c r="D27" s="86" t="s">
        <v>25</v>
      </c>
      <c r="F27" s="48"/>
      <c r="H27" s="17"/>
      <c r="I27" s="17"/>
      <c r="K27" s="30"/>
    </row>
    <row r="28" spans="2:16" x14ac:dyDescent="0.35">
      <c r="B28" s="66" t="str">
        <f t="shared" si="17"/>
        <v>3E0</v>
      </c>
      <c r="C28" s="33">
        <v>32</v>
      </c>
      <c r="D28" s="68" t="s">
        <v>65</v>
      </c>
      <c r="E28" s="68"/>
      <c r="F28" s="69"/>
      <c r="H28" s="17"/>
    </row>
    <row r="29" spans="2:16" x14ac:dyDescent="0.35">
      <c r="B29" s="47" t="str">
        <f t="shared" si="17"/>
        <v>400</v>
      </c>
      <c r="C29" s="30">
        <v>480</v>
      </c>
      <c r="D29" t="s">
        <v>52</v>
      </c>
      <c r="F29" s="48"/>
      <c r="H29" s="17"/>
      <c r="I29" s="55"/>
    </row>
    <row r="30" spans="2:16" x14ac:dyDescent="0.35">
      <c r="B30" s="47" t="str">
        <f t="shared" si="17"/>
        <v>5E0</v>
      </c>
      <c r="C30" s="30">
        <v>48</v>
      </c>
      <c r="D30" t="s">
        <v>53</v>
      </c>
      <c r="F30" s="48"/>
    </row>
    <row r="31" spans="2:16" x14ac:dyDescent="0.35">
      <c r="B31" s="47" t="str">
        <f t="shared" si="17"/>
        <v>610</v>
      </c>
      <c r="C31" s="30">
        <v>384</v>
      </c>
      <c r="D31" t="s">
        <v>18</v>
      </c>
      <c r="F31" s="48"/>
    </row>
    <row r="32" spans="2:16" x14ac:dyDescent="0.35">
      <c r="B32" s="47" t="str">
        <f t="shared" si="17"/>
        <v>790</v>
      </c>
      <c r="C32" s="30">
        <v>96</v>
      </c>
      <c r="D32" t="s">
        <v>54</v>
      </c>
      <c r="F32" s="48"/>
    </row>
    <row r="33" spans="2:6" x14ac:dyDescent="0.35">
      <c r="B33" s="66" t="str">
        <f t="shared" si="17"/>
        <v>7F0</v>
      </c>
      <c r="C33" s="33">
        <v>16</v>
      </c>
      <c r="D33" s="67" t="s">
        <v>68</v>
      </c>
      <c r="E33" s="68"/>
      <c r="F33" s="69"/>
    </row>
    <row r="34" spans="2:6" x14ac:dyDescent="0.35">
      <c r="B34" s="78" t="str">
        <f t="shared" si="17"/>
        <v>800</v>
      </c>
      <c r="C34" s="87">
        <v>128</v>
      </c>
      <c r="D34" s="88" t="s">
        <v>27</v>
      </c>
      <c r="E34" s="88"/>
      <c r="F34" s="79"/>
    </row>
    <row r="35" spans="2:6" x14ac:dyDescent="0.35">
      <c r="B35" s="47" t="str">
        <f t="shared" si="17"/>
        <v>880</v>
      </c>
      <c r="C35" s="30">
        <v>64</v>
      </c>
      <c r="D35" s="86" t="s">
        <v>76</v>
      </c>
      <c r="F35" s="48"/>
    </row>
    <row r="36" spans="2:6" x14ac:dyDescent="0.35">
      <c r="B36" s="74" t="str">
        <f t="shared" si="17"/>
        <v>8C0</v>
      </c>
      <c r="C36" s="75">
        <f>2*$D$8</f>
        <v>64</v>
      </c>
      <c r="D36" s="76" t="s">
        <v>27</v>
      </c>
      <c r="E36" s="76"/>
      <c r="F36" s="77"/>
    </row>
    <row r="37" spans="2:6" x14ac:dyDescent="0.35">
      <c r="B37" s="47" t="str">
        <f t="shared" si="17"/>
        <v>900</v>
      </c>
      <c r="C37" s="30">
        <v>960</v>
      </c>
      <c r="D37" t="s">
        <v>17</v>
      </c>
      <c r="F37" s="48"/>
    </row>
    <row r="38" spans="2:6" x14ac:dyDescent="0.35">
      <c r="B38" s="66" t="str">
        <f t="shared" si="17"/>
        <v>CC0</v>
      </c>
      <c r="C38" s="33">
        <v>64</v>
      </c>
      <c r="D38" s="68" t="s">
        <v>26</v>
      </c>
      <c r="E38" s="68"/>
      <c r="F38" s="69"/>
    </row>
    <row r="39" spans="2:6" x14ac:dyDescent="0.35">
      <c r="B39" s="47" t="str">
        <f t="shared" si="17"/>
        <v>D00</v>
      </c>
      <c r="C39" s="30">
        <v>32</v>
      </c>
      <c r="D39" s="86" t="s">
        <v>64</v>
      </c>
      <c r="F39" s="48"/>
    </row>
    <row r="40" spans="2:6" x14ac:dyDescent="0.35">
      <c r="B40" s="47" t="str">
        <f>DEC2HEX(HEX2DEC(B39)+C39)</f>
        <v>D20</v>
      </c>
      <c r="C40" s="30">
        <v>64</v>
      </c>
      <c r="D40" s="86" t="s">
        <v>77</v>
      </c>
      <c r="F40" s="48"/>
    </row>
    <row r="41" spans="2:6" x14ac:dyDescent="0.35">
      <c r="B41" s="74" t="str">
        <f t="shared" si="17"/>
        <v>D60</v>
      </c>
      <c r="C41" s="75">
        <v>160</v>
      </c>
      <c r="D41" s="76" t="s">
        <v>55</v>
      </c>
      <c r="E41" s="76"/>
      <c r="F41" s="77"/>
    </row>
    <row r="42" spans="2:6" x14ac:dyDescent="0.35">
      <c r="B42" s="47" t="str">
        <f t="shared" si="17"/>
        <v>E00</v>
      </c>
      <c r="C42" s="30">
        <v>384</v>
      </c>
      <c r="D42" s="86" t="s">
        <v>18</v>
      </c>
      <c r="F42" s="48"/>
    </row>
    <row r="43" spans="2:6" x14ac:dyDescent="0.35">
      <c r="B43" s="47" t="str">
        <f t="shared" si="17"/>
        <v>F80</v>
      </c>
      <c r="C43" s="30">
        <v>32</v>
      </c>
      <c r="D43" s="86" t="s">
        <v>25</v>
      </c>
      <c r="F43" s="48"/>
    </row>
    <row r="44" spans="2:6" x14ac:dyDescent="0.35">
      <c r="B44" s="66" t="str">
        <f t="shared" si="17"/>
        <v>FA0</v>
      </c>
      <c r="C44" s="33">
        <v>96</v>
      </c>
      <c r="D44" s="67" t="s">
        <v>56</v>
      </c>
      <c r="E44" s="68"/>
      <c r="F44" s="69"/>
    </row>
    <row r="45" spans="2:6" x14ac:dyDescent="0.35">
      <c r="B45" s="78" t="str">
        <f t="shared" si="17"/>
        <v>1000</v>
      </c>
      <c r="C45" s="87">
        <v>144</v>
      </c>
      <c r="D45" s="89" t="s">
        <v>21</v>
      </c>
      <c r="E45" s="88"/>
      <c r="F45" s="79"/>
    </row>
    <row r="46" spans="2:6" x14ac:dyDescent="0.35">
      <c r="B46" s="47" t="str">
        <f t="shared" si="17"/>
        <v>1090</v>
      </c>
      <c r="C46" s="30">
        <v>48</v>
      </c>
      <c r="D46" s="86" t="s">
        <v>57</v>
      </c>
      <c r="F46" s="48"/>
    </row>
    <row r="47" spans="2:6" x14ac:dyDescent="0.35">
      <c r="B47" s="47" t="str">
        <f t="shared" si="17"/>
        <v>10C0</v>
      </c>
      <c r="C47" s="30">
        <v>32</v>
      </c>
      <c r="D47" s="86" t="s">
        <v>21</v>
      </c>
      <c r="F47" s="48"/>
    </row>
    <row r="48" spans="2:6" x14ac:dyDescent="0.35">
      <c r="B48" s="47" t="str">
        <f t="shared" si="17"/>
        <v>10E0</v>
      </c>
      <c r="C48" s="30">
        <v>12</v>
      </c>
      <c r="D48" s="86" t="s">
        <v>63</v>
      </c>
      <c r="F48" s="48"/>
    </row>
    <row r="49" spans="2:6" x14ac:dyDescent="0.35">
      <c r="B49" s="66" t="str">
        <f t="shared" si="17"/>
        <v>10EC</v>
      </c>
      <c r="C49" s="33">
        <v>20</v>
      </c>
      <c r="D49" s="67" t="s">
        <v>66</v>
      </c>
      <c r="E49" s="68"/>
      <c r="F49" s="69"/>
    </row>
    <row r="50" spans="2:6" x14ac:dyDescent="0.35">
      <c r="B50" s="90" t="str">
        <f t="shared" si="17"/>
        <v>1100</v>
      </c>
      <c r="C50" s="70">
        <f>HEX2DEC(B51)-HEX2DEC(B50)</f>
        <v>6960</v>
      </c>
      <c r="D50" s="71" t="s">
        <v>10</v>
      </c>
      <c r="E50" s="71"/>
      <c r="F50" s="72"/>
    </row>
    <row r="51" spans="2:6" x14ac:dyDescent="0.35">
      <c r="B51" s="73" t="str">
        <f t="shared" ref="B51:B55" si="18">DEC2HEX(HEX2DEC(B52)-C51)</f>
        <v>2C30</v>
      </c>
      <c r="C51" s="31">
        <v>864</v>
      </c>
      <c r="D51" s="80" t="s">
        <v>58</v>
      </c>
      <c r="E51" s="80"/>
      <c r="F51" s="81"/>
    </row>
    <row r="52" spans="2:6" x14ac:dyDescent="0.35">
      <c r="B52" s="47" t="str">
        <f t="shared" si="18"/>
        <v>2F90</v>
      </c>
      <c r="C52" s="30">
        <v>96</v>
      </c>
      <c r="D52" t="s">
        <v>60</v>
      </c>
      <c r="F52" s="48"/>
    </row>
    <row r="53" spans="2:6" x14ac:dyDescent="0.35">
      <c r="B53" s="47" t="str">
        <f t="shared" si="18"/>
        <v>2FF0</v>
      </c>
      <c r="C53" s="30">
        <v>96</v>
      </c>
      <c r="D53" t="s">
        <v>75</v>
      </c>
      <c r="F53" s="48"/>
    </row>
    <row r="54" spans="2:6" x14ac:dyDescent="0.35">
      <c r="B54" s="66" t="str">
        <f t="shared" si="18"/>
        <v>3050</v>
      </c>
      <c r="C54" s="33">
        <f>$D$12</f>
        <v>224</v>
      </c>
      <c r="D54" s="68" t="s">
        <v>28</v>
      </c>
      <c r="E54" s="68"/>
      <c r="F54" s="69"/>
    </row>
    <row r="55" spans="2:6" x14ac:dyDescent="0.35">
      <c r="B55" s="47" t="str">
        <f t="shared" si="18"/>
        <v>3130</v>
      </c>
      <c r="C55" s="30">
        <v>16</v>
      </c>
      <c r="D55" t="s">
        <v>29</v>
      </c>
      <c r="F55" s="48"/>
    </row>
    <row r="56" spans="2:6" x14ac:dyDescent="0.35">
      <c r="B56" s="47" t="str">
        <f>DEC2HEX(HEX2DEC(B57)-C56)</f>
        <v>3140</v>
      </c>
      <c r="C56" s="30">
        <v>1728</v>
      </c>
      <c r="D56" s="17" t="s">
        <v>67</v>
      </c>
      <c r="F56" s="48"/>
    </row>
    <row r="57" spans="2:6" x14ac:dyDescent="0.35">
      <c r="B57" s="47" t="str">
        <f t="shared" ref="B57" si="19">DEC2HEX(HEX2DEC(B58)-C57)</f>
        <v>3800</v>
      </c>
      <c r="C57" s="30">
        <f>2048</f>
        <v>2048</v>
      </c>
      <c r="D57" s="17" t="s">
        <v>30</v>
      </c>
      <c r="F57" s="48"/>
    </row>
    <row r="58" spans="2:6" ht="15" thickBot="1" x14ac:dyDescent="0.4">
      <c r="B58" s="91">
        <v>4000</v>
      </c>
      <c r="C58" s="92"/>
      <c r="D58" s="93" t="s">
        <v>19</v>
      </c>
      <c r="E58" s="94"/>
      <c r="F58" s="95"/>
    </row>
    <row r="59" spans="2:6" x14ac:dyDescent="0.35">
      <c r="B59" s="17"/>
      <c r="C59" s="17"/>
      <c r="D59" s="17"/>
    </row>
    <row r="60" spans="2:6" ht="15" thickBot="1" x14ac:dyDescent="0.4">
      <c r="B60" s="17"/>
      <c r="C60" s="17"/>
      <c r="D60" s="17"/>
    </row>
    <row r="61" spans="2:6" ht="15" thickBot="1" x14ac:dyDescent="0.4">
      <c r="B61" s="100" t="s">
        <v>7</v>
      </c>
      <c r="C61" s="61" t="s">
        <v>20</v>
      </c>
      <c r="D61" s="101" t="s">
        <v>8</v>
      </c>
      <c r="E61" s="53"/>
      <c r="F61" s="54"/>
    </row>
    <row r="62" spans="2:6" x14ac:dyDescent="0.35">
      <c r="B62" s="105">
        <v>4000</v>
      </c>
      <c r="C62" s="96">
        <f>HEX2DEC(B63)-HEX2DEC(B62)</f>
        <v>2</v>
      </c>
      <c r="D62" s="97" t="s">
        <v>78</v>
      </c>
      <c r="F62" s="48"/>
    </row>
    <row r="63" spans="2:6" x14ac:dyDescent="0.35">
      <c r="B63" s="105">
        <v>4002</v>
      </c>
      <c r="C63" s="96">
        <f>HEX2DEC(B64)-HEX2DEC(B63)</f>
        <v>28</v>
      </c>
      <c r="D63" s="97" t="s">
        <v>79</v>
      </c>
      <c r="F63" s="48"/>
    </row>
    <row r="64" spans="2:6" x14ac:dyDescent="0.35">
      <c r="B64" s="105" t="s">
        <v>80</v>
      </c>
      <c r="C64" s="96">
        <f t="shared" ref="C64:C74" si="20">HEX2DEC(B65)-HEX2DEC(B64)</f>
        <v>5</v>
      </c>
      <c r="D64" s="97" t="s">
        <v>81</v>
      </c>
      <c r="F64" s="48"/>
    </row>
    <row r="65" spans="2:6" x14ac:dyDescent="0.35">
      <c r="B65" s="105">
        <v>4023</v>
      </c>
      <c r="C65" s="96">
        <f t="shared" si="20"/>
        <v>192</v>
      </c>
      <c r="D65" s="97" t="s">
        <v>82</v>
      </c>
      <c r="F65" s="48"/>
    </row>
    <row r="66" spans="2:6" x14ac:dyDescent="0.35">
      <c r="B66" s="106" t="s">
        <v>94</v>
      </c>
      <c r="C66" s="96">
        <f t="shared" si="20"/>
        <v>48</v>
      </c>
      <c r="D66" s="97" t="s">
        <v>83</v>
      </c>
      <c r="F66" s="48"/>
    </row>
    <row r="67" spans="2:6" x14ac:dyDescent="0.35">
      <c r="B67" s="105" t="s">
        <v>96</v>
      </c>
      <c r="C67" s="96">
        <f t="shared" si="20"/>
        <v>3712</v>
      </c>
      <c r="D67" s="97" t="s">
        <v>84</v>
      </c>
      <c r="F67" s="48"/>
    </row>
    <row r="68" spans="2:6" x14ac:dyDescent="0.35">
      <c r="B68" s="105" t="s">
        <v>97</v>
      </c>
      <c r="C68" s="96">
        <f t="shared" si="20"/>
        <v>1765</v>
      </c>
      <c r="D68" s="97" t="s">
        <v>85</v>
      </c>
      <c r="F68" s="48"/>
    </row>
    <row r="69" spans="2:6" x14ac:dyDescent="0.35">
      <c r="B69" s="105">
        <v>5678</v>
      </c>
      <c r="C69" s="96">
        <f t="shared" si="20"/>
        <v>76</v>
      </c>
      <c r="D69" s="97" t="s">
        <v>86</v>
      </c>
      <c r="F69" s="48"/>
    </row>
    <row r="70" spans="2:6" x14ac:dyDescent="0.35">
      <c r="B70" s="107" t="s">
        <v>98</v>
      </c>
      <c r="C70" s="96">
        <f t="shared" si="20"/>
        <v>2707</v>
      </c>
      <c r="D70" s="102" t="s">
        <v>93</v>
      </c>
      <c r="F70" s="48"/>
    </row>
    <row r="71" spans="2:6" x14ac:dyDescent="0.35">
      <c r="B71" s="105">
        <v>6157</v>
      </c>
      <c r="C71" s="96">
        <f t="shared" si="20"/>
        <v>3148</v>
      </c>
      <c r="D71" s="97" t="s">
        <v>87</v>
      </c>
      <c r="F71" s="48"/>
    </row>
    <row r="72" spans="2:6" x14ac:dyDescent="0.35">
      <c r="B72" s="108" t="s">
        <v>99</v>
      </c>
      <c r="C72" s="103">
        <f t="shared" si="20"/>
        <v>80</v>
      </c>
      <c r="D72" s="104" t="s">
        <v>95</v>
      </c>
      <c r="E72" s="88"/>
      <c r="F72" s="79"/>
    </row>
    <row r="73" spans="2:6" x14ac:dyDescent="0.35">
      <c r="B73" s="106" t="s">
        <v>100</v>
      </c>
      <c r="C73" s="96">
        <f t="shared" si="20"/>
        <v>3341</v>
      </c>
      <c r="D73" s="97" t="s">
        <v>92</v>
      </c>
      <c r="F73" s="48"/>
    </row>
    <row r="74" spans="2:6" x14ac:dyDescent="0.35">
      <c r="B74" s="105" t="s">
        <v>88</v>
      </c>
      <c r="C74" s="96">
        <f t="shared" si="20"/>
        <v>256</v>
      </c>
      <c r="D74" s="97" t="s">
        <v>89</v>
      </c>
      <c r="F74" s="48"/>
    </row>
    <row r="75" spans="2:6" ht="15" thickBot="1" x14ac:dyDescent="0.4">
      <c r="B75" s="109" t="s">
        <v>90</v>
      </c>
      <c r="C75" s="98">
        <v>1024</v>
      </c>
      <c r="D75" s="99" t="s">
        <v>91</v>
      </c>
      <c r="E75" s="51"/>
      <c r="F75" s="52"/>
    </row>
    <row r="76" spans="2:6" x14ac:dyDescent="0.35">
      <c r="B76" s="46"/>
      <c r="C76" s="96"/>
    </row>
    <row r="77" spans="2:6" x14ac:dyDescent="0.35">
      <c r="B77" s="46"/>
    </row>
    <row r="78" spans="2:6" x14ac:dyDescent="0.35">
      <c r="B78" s="46"/>
    </row>
    <row r="79" spans="2:6" x14ac:dyDescent="0.35">
      <c r="B79" s="46"/>
    </row>
    <row r="80" spans="2:6" x14ac:dyDescent="0.35">
      <c r="B80" s="46"/>
    </row>
    <row r="81" spans="2:2" x14ac:dyDescent="0.35">
      <c r="B81" s="46"/>
    </row>
    <row r="82" spans="2:2" x14ac:dyDescent="0.35">
      <c r="B82" s="46"/>
    </row>
    <row r="83" spans="2:2" x14ac:dyDescent="0.35">
      <c r="B83" s="46"/>
    </row>
    <row r="84" spans="2:2" x14ac:dyDescent="0.35">
      <c r="B84" s="46"/>
    </row>
    <row r="85" spans="2:2" x14ac:dyDescent="0.35">
      <c r="B85" s="46"/>
    </row>
    <row r="86" spans="2:2" x14ac:dyDescent="0.35">
      <c r="B86" s="46"/>
    </row>
    <row r="87" spans="2:2" x14ac:dyDescent="0.35">
      <c r="B87" s="46"/>
    </row>
    <row r="88" spans="2:2" x14ac:dyDescent="0.35">
      <c r="B88" s="46"/>
    </row>
    <row r="89" spans="2:2" x14ac:dyDescent="0.35">
      <c r="B89" s="46"/>
    </row>
    <row r="90" spans="2:2" x14ac:dyDescent="0.35">
      <c r="B90" s="46"/>
    </row>
    <row r="91" spans="2:2" x14ac:dyDescent="0.35">
      <c r="B91" s="46"/>
    </row>
    <row r="92" spans="2:2" x14ac:dyDescent="0.35">
      <c r="B92" s="46"/>
    </row>
    <row r="93" spans="2:2" x14ac:dyDescent="0.35">
      <c r="B93" s="46"/>
    </row>
    <row r="94" spans="2:2" x14ac:dyDescent="0.35">
      <c r="B94" s="46"/>
    </row>
    <row r="95" spans="2:2" x14ac:dyDescent="0.35">
      <c r="B95" s="46"/>
    </row>
    <row r="96" spans="2:2" x14ac:dyDescent="0.35">
      <c r="B96" s="46"/>
    </row>
    <row r="97" spans="2:2" x14ac:dyDescent="0.35">
      <c r="B97" s="46"/>
    </row>
    <row r="98" spans="2:2" x14ac:dyDescent="0.35">
      <c r="B98" s="46"/>
    </row>
    <row r="99" spans="2:2" x14ac:dyDescent="0.35">
      <c r="B99" s="46"/>
    </row>
    <row r="100" spans="2:2" x14ac:dyDescent="0.35">
      <c r="B100" s="46"/>
    </row>
    <row r="101" spans="2:2" x14ac:dyDescent="0.35">
      <c r="B101" s="45"/>
    </row>
  </sheetData>
  <mergeCells count="12">
    <mergeCell ref="G2:H2"/>
    <mergeCell ref="K2:L2"/>
    <mergeCell ref="M2:N2"/>
    <mergeCell ref="B2:B4"/>
    <mergeCell ref="I2:J2"/>
    <mergeCell ref="C2:C4"/>
    <mergeCell ref="D2:D4"/>
    <mergeCell ref="E2:F2"/>
    <mergeCell ref="G3:H3"/>
    <mergeCell ref="M3:N3"/>
    <mergeCell ref="K3:L3"/>
    <mergeCell ref="E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Leece</dc:creator>
  <cp:lastModifiedBy>Mark Leece</cp:lastModifiedBy>
  <dcterms:created xsi:type="dcterms:W3CDTF">2024-12-11T20:10:45Z</dcterms:created>
  <dcterms:modified xsi:type="dcterms:W3CDTF">2025-07-09T01:07:39Z</dcterms:modified>
</cp:coreProperties>
</file>